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rupocosmic-my.sharepoint.com/personal/rrhhpanama_redvolutionlatam_com/Documents/Desktop/PLANILLAS TODAS 2026/PLANILLA 1RA JUNIO 2026 TODAS/NOMINA PSMT 1RA Q JUNIO 2026/"/>
    </mc:Choice>
  </mc:AlternateContent>
  <xr:revisionPtr revIDLastSave="1451" documentId="8_{8BE592B6-CC87-42ED-BB03-6B0E903E0598}" xr6:coauthVersionLast="47" xr6:coauthVersionMax="47" xr10:uidLastSave="{FA67E623-D025-4E8C-B9BB-01E6BAFF0E9B}"/>
  <bookViews>
    <workbookView xWindow="0" yWindow="0" windowWidth="10404" windowHeight="12120" tabRatio="776" xr2:uid="{45AF54EB-EA20-498E-B340-F59956459BE4}"/>
  </bookViews>
  <sheets>
    <sheet name="PRICESMART " sheetId="27" r:id="rId1"/>
    <sheet name="Hoja2" sheetId="36" r:id="rId2"/>
    <sheet name="INSTRUCCIONES" sheetId="2" r:id="rId3"/>
  </sheets>
  <externalReferences>
    <externalReference r:id="rId4"/>
    <externalReference r:id="rId5"/>
  </externalReferences>
  <definedNames>
    <definedName name="_xlnm._FilterDatabase" localSheetId="0" hidden="1">'PRICESMART '!$A$8:$BF$84</definedName>
    <definedName name="calen3año3">'[1]Programación 2022'!#REF!</definedName>
    <definedName name="calen45año5">'[1]Programación 2022'!#REF!</definedName>
    <definedName name="calen4mes4">'[2]Calendario (2)'!$C$43</definedName>
    <definedName name="calen4qño4">'[1]Programación 2022'!#REF!</definedName>
    <definedName name="calen5mes5">'[2]Calendario (2)'!$C$57</definedName>
    <definedName name="calendar2año2">'[1]Programación 2022'!#REF!</definedName>
    <definedName name="calendar2mes2">MATCH(calendar2mes22,Meses,0)</definedName>
    <definedName name="calendar2mes22">'[2]Calendario (2)'!$C$15</definedName>
    <definedName name="calendar3mes23">'[2]Calendario (2)'!$C$29</definedName>
    <definedName name="calendar3mes33">MATCH(calendar3mes23,Meses,0)</definedName>
    <definedName name="calendar4mes4">MATCH(calen4mes4,Meses,0)</definedName>
    <definedName name="calendar5mes5">MATCH(calen5mes5,Meses,0)</definedName>
    <definedName name="Calendario10Año">'[1]Programación 2022'!#REF!</definedName>
    <definedName name="Calendario10Mes">'[1]Programación 2022'!#REF!</definedName>
    <definedName name="Calendario10MesOpción">MATCH(Calendario10Mes,Meses,0)</definedName>
    <definedName name="Calendario11Año">'[1]Programación 2022'!#REF!</definedName>
    <definedName name="Calendario11Mes">'[1]Programación 2022'!#REF!</definedName>
    <definedName name="Calendario11MesOpción">MATCH(Calendario11Mes,Meses,0)</definedName>
    <definedName name="Calendario12Año">'[1]Programación 2022'!#REF!</definedName>
    <definedName name="Calendario12Mes">'[1]Programación 2022'!#REF!</definedName>
    <definedName name="Calendario12MesOpción">MATCH(Calendario12Mes,Meses,0)</definedName>
    <definedName name="Calendario1Año">'[1]Programación 2022'!$B$1</definedName>
    <definedName name="Calendario1Mes">'[1]Programación 2022'!$C$1</definedName>
    <definedName name="calendario1mes1">MATCH(calendario1mes2,Meses,0)</definedName>
    <definedName name="calendario1mes2">'[2]Calendario (2)'!$C$1</definedName>
    <definedName name="Calendario1MesOpción">MATCH(Calendario1Mes,Meses,0)</definedName>
    <definedName name="Calendario2Año">'[1]Programación 2022'!#REF!</definedName>
    <definedName name="Calendario2Mes">'[1]Programación 2022'!#REF!</definedName>
    <definedName name="Calendario2MesOpción">MATCH(Calendario2Mes,Meses,0)</definedName>
    <definedName name="Calendario3Año">'[1]Programación 2022'!#REF!</definedName>
    <definedName name="Calendario3Mes">'[1]Programación 2022'!#REF!</definedName>
    <definedName name="Calendario3MesOpción">MATCH(Calendario3Mes,Meses,0)</definedName>
    <definedName name="Calendario4Año">'[1]Programación 2022'!#REF!</definedName>
    <definedName name="Calendario4Mes">'[1]Programación 2022'!#REF!</definedName>
    <definedName name="Calendario4MesOpción">MATCH(Calendario4Mes,Meses,0)</definedName>
    <definedName name="Calendario5Año">'[1]Programación 2022'!#REF!</definedName>
    <definedName name="Calendario5Mes">'[1]Programación 2022'!#REF!</definedName>
    <definedName name="Calendario5MesOpción">MATCH(Calendario5Mes,Meses,0)</definedName>
    <definedName name="Calendario6Año">'[1]Programación 2022'!#REF!</definedName>
    <definedName name="Calendario6Mes">'[1]Programación 2022'!#REF!</definedName>
    <definedName name="Calendario6MesOpción">MATCH(Calendario6Mes,Meses,0)</definedName>
    <definedName name="Calendario7Año">'[1]Programación 2022'!#REF!</definedName>
    <definedName name="Calendario7Mes">'[1]Programación 2022'!#REF!</definedName>
    <definedName name="Calendario7MesOpción">MATCH(Calendario7Mes,Meses,0)</definedName>
    <definedName name="Calendario8Año">'[1]Programación 2022'!#REF!</definedName>
    <definedName name="Calendario8Mes">'[1]Programación 2022'!#REF!</definedName>
    <definedName name="Calendario8MesOpción">MATCH(Calendario8Mes,Meses,0)</definedName>
    <definedName name="Calendario9Año">'[1]Programación 2022'!#REF!</definedName>
    <definedName name="Calendario9Mes">'[1]Programación 2022'!#REF!</definedName>
    <definedName name="Calendario9MesOpción">MATCH(Calendario9Mes,Meses,0)</definedName>
    <definedName name="ColumnTitleRegion10..H54.1">'[1]Programación 2022'!#REF!</definedName>
    <definedName name="ColumnTitleRegion11..C56.1">'[1]Programación 2022'!#REF!</definedName>
    <definedName name="ColumnTitleRegion12..D56.1">'[1]Programación 2022'!#REF!</definedName>
    <definedName name="ColumnTitleRegion13..H68.1">'[1]Programación 2022'!#REF!</definedName>
    <definedName name="ColumnTitleRegion14..C70.1">'[1]Programación 2022'!#REF!</definedName>
    <definedName name="ColumnTitleRegion15..D70.1">'[1]Programación 2022'!#REF!</definedName>
    <definedName name="ColumnTitleRegion16..H82.1">'[1]Programación 2022'!#REF!</definedName>
    <definedName name="ColumnTitleRegion17..C84.1">'[1]Programación 2022'!#REF!</definedName>
    <definedName name="ColumnTitleRegion18..D84.1">'[1]Programación 2022'!#REF!</definedName>
    <definedName name="ColumnTitleRegion19..H96.1">'[1]Programación 2022'!#REF!</definedName>
    <definedName name="ColumnTitleRegion20..C98.1">'[1]Programación 2022'!#REF!</definedName>
    <definedName name="ColumnTitleRegion21..D98.1">'[1]Programación 2022'!#REF!</definedName>
    <definedName name="ColumnTitleRegion22..H110.1">'[1]Programación 2022'!#REF!</definedName>
    <definedName name="ColumnTitleRegion23..C112.1">'[1]Programación 2022'!#REF!</definedName>
    <definedName name="ColumnTitleRegion24..D112.1">'[1]Programación 2022'!#REF!</definedName>
    <definedName name="ColumnTitleRegion25..H124.1">'[1]Programación 2022'!#REF!</definedName>
    <definedName name="ColumnTitleRegion26..C126.1">'[1]Programación 2022'!#REF!</definedName>
    <definedName name="ColumnTitleRegion27..D126.1">'[1]Programación 2022'!#REF!</definedName>
    <definedName name="ColumnTitleRegion28..H138.1">'[1]Programación 2022'!#REF!</definedName>
    <definedName name="ColumnTitleRegion29..C140.1">'[1]Programación 2022'!#REF!</definedName>
    <definedName name="ColumnTitleRegion30..D140.1">'[1]Programación 2022'!#REF!</definedName>
    <definedName name="ColumnTitleRegion31..H152.1">'[1]Programación 2022'!#REF!</definedName>
    <definedName name="ColumnTitleRegion32..C154.1">'[1]Programación 2022'!#REF!</definedName>
    <definedName name="ColumnTitleRegion33..D154.1">'[1]Programación 2022'!#REF!</definedName>
    <definedName name="ColumnTitleRegion34..H166.1">'[1]Programación 2022'!#REF!</definedName>
    <definedName name="ColumnTitleRegion35..C168.1">'[1]Programación 2022'!#REF!</definedName>
    <definedName name="ColumnTitleRegion36..D168.1">'[1]Programación 2022'!#REF!</definedName>
    <definedName name="ColumnTitleRegion4..H26.1">'[1]Programación 2022'!#REF!</definedName>
    <definedName name="ColumnTitleRegion5..C28.1">'[1]Programación 2022'!#REF!</definedName>
    <definedName name="ColumnTitleRegion6..D28.1">'[1]Programación 2022'!#REF!</definedName>
    <definedName name="ColumnTitleRegion7..H40.1">'[1]Programación 2022'!#REF!</definedName>
    <definedName name="ColumnTitleRegion8..C42.1">'[1]Programación 2022'!#REF!</definedName>
    <definedName name="ColumnTitleRegion9..D42.1">'[1]Programación 2022'!#REF!</definedName>
    <definedName name="DíaDeLaSemanaOpción">MATCH(InicioDeSemana,DíasDeLaSemana,0)+10</definedName>
    <definedName name="Días">{0,1,2,3,4,5,6}</definedName>
    <definedName name="Días_1">{0,1,2,3,4,5,6}</definedName>
    <definedName name="Días_2">{0,1,2,3,4,5,6}</definedName>
    <definedName name="Días_3">{0,1,2,3,4,5,6}</definedName>
    <definedName name="DíasDeLaSemana">{"LUNES","MARTES","MIÉRCOLES","JUEVES","VIERNES","SÁBADO","DOMINGO"}</definedName>
    <definedName name="DíasDeLaSemana_1">{"LUNES","MARTES","MIÉRCOLES","JUEVES","VIERNES","SÁBADO","DOMINGO"}</definedName>
    <definedName name="DíasDeLaSemana_2">{"LUNES","MARTES","MIÉRCOLES","JUEVES","VIERNES","SÁBADO","DOMINGO"}</definedName>
    <definedName name="DíasDeLaSemana_3">{"LUNES","MARTES","MIÉRCOLES","JUEVES","VIERNES","SÁBADO","DOMINGO"}</definedName>
    <definedName name="diassemana2">MATCH(inicio2,DíasDeLaSemana,0)+10</definedName>
    <definedName name="inicio2">'[1]Programación 2022'!$B$2</definedName>
    <definedName name="InicioDeSemana">'[1]Programación 2022'!$B$2</definedName>
    <definedName name="Meses">{"enero","febrero","marzo","abril","mayo","junio","julio","agosto","septiembre","octubre","noviembre","diciembre"}</definedName>
    <definedName name="Meses_1">{"enero","febrero","marzo","abril","mayo","junio","julio","agosto","septiembre","octubre","noviembre","diciembre"}</definedName>
    <definedName name="Meses_2">{"enero","febrero","marzo","abril","mayo","junio","julio","agosto","septiembre","octubre","noviembre","diciembre"}</definedName>
    <definedName name="Meses_3">{"enero","febrero","marzo","abril","mayo","junio","julio","agosto","septiembre","octubre","noviembre","diciembre"}</definedName>
    <definedName name="WeekStartValue">IF(InicioDeSemana="LUNES",2,1)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" i="36" l="1"/>
  <c r="E80" i="36"/>
  <c r="AM17" i="27"/>
  <c r="AM18" i="27"/>
  <c r="AM19" i="27"/>
  <c r="AM20" i="27"/>
  <c r="AM21" i="27"/>
  <c r="AM22" i="27"/>
  <c r="AM23" i="27"/>
  <c r="AM24" i="27"/>
  <c r="AM25" i="27"/>
  <c r="AM26" i="27"/>
  <c r="AM27" i="27"/>
  <c r="AM28" i="27"/>
  <c r="AM29" i="27"/>
  <c r="AM30" i="27"/>
  <c r="AM31" i="27"/>
  <c r="AM32" i="27"/>
  <c r="AM33" i="27"/>
  <c r="AM34" i="27"/>
  <c r="AM35" i="27"/>
  <c r="AM36" i="27"/>
  <c r="AM37" i="27"/>
  <c r="AM38" i="27"/>
  <c r="AM39" i="27"/>
  <c r="AM40" i="27"/>
  <c r="AM41" i="27"/>
  <c r="AM42" i="27"/>
  <c r="AM43" i="27"/>
  <c r="AM44" i="27"/>
  <c r="AM45" i="27"/>
  <c r="AM46" i="27"/>
  <c r="AM47" i="27"/>
  <c r="AM48" i="27"/>
  <c r="AM49" i="27"/>
  <c r="AM50" i="27"/>
  <c r="AM51" i="27"/>
  <c r="AM52" i="27"/>
  <c r="AM53" i="27"/>
  <c r="AM54" i="27"/>
  <c r="AM55" i="27"/>
  <c r="AM56" i="27"/>
  <c r="AM57" i="27"/>
  <c r="AM58" i="27"/>
  <c r="AM59" i="27"/>
  <c r="AM60" i="27"/>
  <c r="AM61" i="27"/>
  <c r="AM62" i="27"/>
  <c r="AM63" i="27"/>
  <c r="AM64" i="27"/>
  <c r="AM65" i="27"/>
  <c r="AM66" i="27"/>
  <c r="AM67" i="27"/>
  <c r="AM68" i="27"/>
  <c r="AM69" i="27"/>
  <c r="AM70" i="27"/>
  <c r="AM71" i="27"/>
  <c r="AM72" i="27"/>
  <c r="AM73" i="27"/>
  <c r="AM74" i="27"/>
  <c r="AM75" i="27"/>
  <c r="AM76" i="27"/>
  <c r="AM77" i="27"/>
  <c r="AM78" i="27"/>
  <c r="AM79" i="27"/>
  <c r="AM80" i="27"/>
  <c r="AM81" i="27"/>
  <c r="AM82" i="27"/>
  <c r="AM83" i="27"/>
  <c r="AM84" i="27"/>
  <c r="AK14" i="27"/>
  <c r="AK15" i="27"/>
  <c r="AK16" i="27"/>
  <c r="AK17" i="27"/>
  <c r="AK18" i="27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I41" i="27"/>
  <c r="AI42" i="27"/>
  <c r="AI65" i="27"/>
  <c r="AI66" i="27"/>
  <c r="AO14" i="27"/>
  <c r="AO15" i="27"/>
  <c r="AO16" i="27"/>
  <c r="AO17" i="27"/>
  <c r="AO18" i="27"/>
  <c r="AO19" i="27"/>
  <c r="AO20" i="27"/>
  <c r="AO21" i="27"/>
  <c r="AO22" i="27"/>
  <c r="AO23" i="27"/>
  <c r="AO24" i="27"/>
  <c r="AO25" i="27"/>
  <c r="AO26" i="27"/>
  <c r="AO27" i="27"/>
  <c r="AO28" i="27"/>
  <c r="AO29" i="27"/>
  <c r="AO30" i="27"/>
  <c r="AO31" i="27"/>
  <c r="AO32" i="27"/>
  <c r="AO33" i="27"/>
  <c r="AO34" i="27"/>
  <c r="AO35" i="27"/>
  <c r="AO36" i="27"/>
  <c r="AO37" i="27"/>
  <c r="AO38" i="27"/>
  <c r="AO39" i="27"/>
  <c r="AO40" i="27"/>
  <c r="AO41" i="27"/>
  <c r="AO42" i="27"/>
  <c r="AO43" i="27"/>
  <c r="AO44" i="27"/>
  <c r="AO45" i="27"/>
  <c r="AO46" i="27"/>
  <c r="AO47" i="27"/>
  <c r="AO48" i="27"/>
  <c r="AO49" i="27"/>
  <c r="AO50" i="27"/>
  <c r="AO51" i="27"/>
  <c r="AO52" i="27"/>
  <c r="AO53" i="27"/>
  <c r="AO54" i="27"/>
  <c r="AO55" i="27"/>
  <c r="AO56" i="27"/>
  <c r="AO57" i="27"/>
  <c r="AO58" i="27"/>
  <c r="AO59" i="27"/>
  <c r="AO60" i="27"/>
  <c r="AO61" i="27"/>
  <c r="AO62" i="27"/>
  <c r="AO63" i="27"/>
  <c r="AO64" i="27"/>
  <c r="AO65" i="27"/>
  <c r="AO66" i="27"/>
  <c r="AO67" i="27"/>
  <c r="AO68" i="27"/>
  <c r="AO69" i="27"/>
  <c r="AO70" i="27"/>
  <c r="AO71" i="27"/>
  <c r="AO72" i="27"/>
  <c r="AO73" i="27"/>
  <c r="AO74" i="27"/>
  <c r="AO75" i="27"/>
  <c r="AO76" i="27"/>
  <c r="AO77" i="27"/>
  <c r="AO78" i="27"/>
  <c r="AO79" i="27"/>
  <c r="AO80" i="27"/>
  <c r="AO81" i="27"/>
  <c r="AO82" i="27"/>
  <c r="AO83" i="27"/>
  <c r="AO84" i="27"/>
  <c r="AI13" i="27"/>
  <c r="AI14" i="27"/>
  <c r="AI15" i="27"/>
  <c r="AI16" i="27"/>
  <c r="AI20" i="27"/>
  <c r="AI27" i="27"/>
  <c r="AI29" i="27"/>
  <c r="AI30" i="27"/>
  <c r="AI31" i="27"/>
  <c r="AI37" i="27"/>
  <c r="AI38" i="27"/>
  <c r="AI39" i="27"/>
  <c r="AI40" i="27"/>
  <c r="AI43" i="27"/>
  <c r="AI44" i="27"/>
  <c r="AI51" i="27"/>
  <c r="AI53" i="27"/>
  <c r="AI54" i="27"/>
  <c r="AI55" i="27"/>
  <c r="AI58" i="27"/>
  <c r="AI63" i="27"/>
  <c r="AI64" i="27"/>
  <c r="AI67" i="27"/>
  <c r="AI75" i="27"/>
  <c r="AI76" i="27"/>
  <c r="AH12" i="27"/>
  <c r="AI12" i="27" s="1"/>
  <c r="AH13" i="27"/>
  <c r="AH14" i="27"/>
  <c r="AH15" i="27"/>
  <c r="AH16" i="27"/>
  <c r="AH17" i="27"/>
  <c r="AI17" i="27" s="1"/>
  <c r="AH18" i="27"/>
  <c r="AI18" i="27" s="1"/>
  <c r="AH19" i="27"/>
  <c r="AI19" i="27" s="1"/>
  <c r="AH20" i="27"/>
  <c r="AH21" i="27"/>
  <c r="AI21" i="27" s="1"/>
  <c r="AH22" i="27"/>
  <c r="AI22" i="27" s="1"/>
  <c r="AH23" i="27"/>
  <c r="AI23" i="27" s="1"/>
  <c r="AH24" i="27"/>
  <c r="AI24" i="27" s="1"/>
  <c r="AH25" i="27"/>
  <c r="AI25" i="27" s="1"/>
  <c r="AH26" i="27"/>
  <c r="AI26" i="27" s="1"/>
  <c r="AH27" i="27"/>
  <c r="AH28" i="27"/>
  <c r="AI28" i="27" s="1"/>
  <c r="AH29" i="27"/>
  <c r="AH30" i="27"/>
  <c r="AH31" i="27"/>
  <c r="AH32" i="27"/>
  <c r="AI32" i="27" s="1"/>
  <c r="AH33" i="27"/>
  <c r="AI33" i="27" s="1"/>
  <c r="AH34" i="27"/>
  <c r="AI34" i="27" s="1"/>
  <c r="AH35" i="27"/>
  <c r="AI35" i="27" s="1"/>
  <c r="AH36" i="27"/>
  <c r="AI36" i="27" s="1"/>
  <c r="AH37" i="27"/>
  <c r="AH38" i="27"/>
  <c r="AH39" i="27"/>
  <c r="AH40" i="27"/>
  <c r="AH42" i="27"/>
  <c r="AH43" i="27"/>
  <c r="AH44" i="27"/>
  <c r="AH45" i="27"/>
  <c r="AI45" i="27" s="1"/>
  <c r="AH46" i="27"/>
  <c r="AI46" i="27" s="1"/>
  <c r="AH47" i="27"/>
  <c r="AI47" i="27" s="1"/>
  <c r="AH48" i="27"/>
  <c r="AI48" i="27" s="1"/>
  <c r="AH49" i="27"/>
  <c r="AI49" i="27" s="1"/>
  <c r="AH50" i="27"/>
  <c r="AI50" i="27" s="1"/>
  <c r="AH51" i="27"/>
  <c r="AH52" i="27"/>
  <c r="AI52" i="27" s="1"/>
  <c r="AH53" i="27"/>
  <c r="AH54" i="27"/>
  <c r="AH55" i="27"/>
  <c r="AH56" i="27"/>
  <c r="AI56" i="27" s="1"/>
  <c r="AH57" i="27"/>
  <c r="AI57" i="27" s="1"/>
  <c r="AH58" i="27"/>
  <c r="AH59" i="27"/>
  <c r="AI59" i="27" s="1"/>
  <c r="AH60" i="27"/>
  <c r="AI60" i="27" s="1"/>
  <c r="AH61" i="27"/>
  <c r="AI61" i="27" s="1"/>
  <c r="AH62" i="27"/>
  <c r="AI62" i="27" s="1"/>
  <c r="AH63" i="27"/>
  <c r="AH64" i="27"/>
  <c r="AH66" i="27"/>
  <c r="AH67" i="27"/>
  <c r="AH68" i="27"/>
  <c r="AI68" i="27" s="1"/>
  <c r="AH69" i="27"/>
  <c r="AI69" i="27" s="1"/>
  <c r="AH70" i="27"/>
  <c r="AI70" i="27" s="1"/>
  <c r="AH71" i="27"/>
  <c r="AI71" i="27" s="1"/>
  <c r="AH72" i="27"/>
  <c r="AI72" i="27" s="1"/>
  <c r="AH73" i="27"/>
  <c r="AI73" i="27" s="1"/>
  <c r="AH74" i="27"/>
  <c r="AI74" i="27" s="1"/>
  <c r="AH75" i="27"/>
  <c r="AH76" i="27"/>
  <c r="AH77" i="27"/>
  <c r="AI77" i="27" s="1"/>
  <c r="AH78" i="27"/>
  <c r="AI78" i="27" s="1"/>
  <c r="AH79" i="27"/>
  <c r="AI79" i="27" s="1"/>
  <c r="AH80" i="27"/>
  <c r="AI80" i="27" s="1"/>
  <c r="AH81" i="27"/>
  <c r="AI81" i="27" s="1"/>
  <c r="AH82" i="27"/>
  <c r="AI82" i="27" s="1"/>
  <c r="AH83" i="27"/>
  <c r="AI83" i="27" s="1"/>
  <c r="AH84" i="27"/>
  <c r="AI84" i="27" s="1"/>
  <c r="AD21" i="27"/>
  <c r="AD24" i="27"/>
  <c r="AD31" i="27"/>
  <c r="AD43" i="27"/>
  <c r="AD44" i="27"/>
  <c r="AD45" i="27"/>
  <c r="AD46" i="27"/>
  <c r="AD47" i="27"/>
  <c r="AD51" i="27"/>
  <c r="AD55" i="27"/>
  <c r="AT55" i="27" s="1"/>
  <c r="AV55" i="27" s="1"/>
  <c r="AD56" i="27"/>
  <c r="AD57" i="27"/>
  <c r="AD58" i="27"/>
  <c r="AD59" i="27"/>
  <c r="AD64" i="27"/>
  <c r="AD65" i="27"/>
  <c r="AD66" i="27"/>
  <c r="AD69" i="27"/>
  <c r="AD70" i="27"/>
  <c r="AC14" i="27"/>
  <c r="AD14" i="27" s="1"/>
  <c r="AC15" i="27"/>
  <c r="AC16" i="27"/>
  <c r="AD16" i="27" s="1"/>
  <c r="AC17" i="27"/>
  <c r="AD17" i="27" s="1"/>
  <c r="AC18" i="27"/>
  <c r="AD18" i="27" s="1"/>
  <c r="AC19" i="27"/>
  <c r="AD19" i="27" s="1"/>
  <c r="AC20" i="27"/>
  <c r="AC21" i="27"/>
  <c r="AC22" i="27"/>
  <c r="AC23" i="27"/>
  <c r="AC24" i="27"/>
  <c r="AC25" i="27"/>
  <c r="AC26" i="27"/>
  <c r="AD26" i="27" s="1"/>
  <c r="AC27" i="27"/>
  <c r="AD27" i="27" s="1"/>
  <c r="AC28" i="27"/>
  <c r="AD28" i="27" s="1"/>
  <c r="AC29" i="27"/>
  <c r="AD29" i="27" s="1"/>
  <c r="AC30" i="27"/>
  <c r="AD30" i="27" s="1"/>
  <c r="AC31" i="27"/>
  <c r="AC32" i="27"/>
  <c r="AD32" i="27" s="1"/>
  <c r="AC33" i="27"/>
  <c r="AD33" i="27" s="1"/>
  <c r="AC34" i="27"/>
  <c r="AD34" i="27" s="1"/>
  <c r="AC35" i="27"/>
  <c r="AD35" i="27" s="1"/>
  <c r="AC36" i="27"/>
  <c r="AD36" i="27" s="1"/>
  <c r="AC37" i="27"/>
  <c r="AD37" i="27" s="1"/>
  <c r="AC38" i="27"/>
  <c r="AD38" i="27" s="1"/>
  <c r="AC39" i="27"/>
  <c r="AD39" i="27" s="1"/>
  <c r="AC40" i="27"/>
  <c r="AD40" i="27" s="1"/>
  <c r="AC41" i="27"/>
  <c r="AD41" i="27" s="1"/>
  <c r="AC42" i="27"/>
  <c r="AD42" i="27" s="1"/>
  <c r="AC43" i="27"/>
  <c r="AC44" i="27"/>
  <c r="AC45" i="27"/>
  <c r="AC46" i="27"/>
  <c r="AC47" i="27"/>
  <c r="AC48" i="27"/>
  <c r="AD48" i="27" s="1"/>
  <c r="AC49" i="27"/>
  <c r="AD49" i="27" s="1"/>
  <c r="AC50" i="27"/>
  <c r="AD50" i="27" s="1"/>
  <c r="AC51" i="27"/>
  <c r="AC52" i="27"/>
  <c r="AD52" i="27" s="1"/>
  <c r="AC53" i="27"/>
  <c r="AD53" i="27" s="1"/>
  <c r="AC54" i="27"/>
  <c r="AD54" i="27" s="1"/>
  <c r="AC55" i="27"/>
  <c r="AC56" i="27"/>
  <c r="AC57" i="27"/>
  <c r="AC58" i="27"/>
  <c r="AC59" i="27"/>
  <c r="AC60" i="27"/>
  <c r="AD60" i="27" s="1"/>
  <c r="AC61" i="27"/>
  <c r="AD61" i="27" s="1"/>
  <c r="AC62" i="27"/>
  <c r="AD62" i="27" s="1"/>
  <c r="AC63" i="27"/>
  <c r="AD63" i="27" s="1"/>
  <c r="AC64" i="27"/>
  <c r="AC65" i="27"/>
  <c r="AC66" i="27"/>
  <c r="AC67" i="27"/>
  <c r="AD67" i="27" s="1"/>
  <c r="AC68" i="27"/>
  <c r="AD68" i="27" s="1"/>
  <c r="AC69" i="27"/>
  <c r="AC70" i="27"/>
  <c r="AC71" i="27"/>
  <c r="AD71" i="27" s="1"/>
  <c r="AC72" i="27"/>
  <c r="AD72" i="27" s="1"/>
  <c r="AC73" i="27"/>
  <c r="AD73" i="27" s="1"/>
  <c r="AC74" i="27"/>
  <c r="AD74" i="27" s="1"/>
  <c r="AC75" i="27"/>
  <c r="AD75" i="27" s="1"/>
  <c r="AC76" i="27"/>
  <c r="AD76" i="27" s="1"/>
  <c r="AC77" i="27"/>
  <c r="AD77" i="27" s="1"/>
  <c r="AC78" i="27"/>
  <c r="AD78" i="27" s="1"/>
  <c r="AC79" i="27"/>
  <c r="AD79" i="27" s="1"/>
  <c r="AC80" i="27"/>
  <c r="AD80" i="27" s="1"/>
  <c r="AC81" i="27"/>
  <c r="AD81" i="27" s="1"/>
  <c r="AC82" i="27"/>
  <c r="AD82" i="27" s="1"/>
  <c r="AC83" i="27"/>
  <c r="AD83" i="27" s="1"/>
  <c r="AC84" i="27"/>
  <c r="AD84" i="27" s="1"/>
  <c r="AF21" i="27"/>
  <c r="AF26" i="27"/>
  <c r="AF27" i="27"/>
  <c r="AF28" i="27"/>
  <c r="AF29" i="27"/>
  <c r="AF30" i="27"/>
  <c r="AF36" i="27"/>
  <c r="AF40" i="27"/>
  <c r="AF41" i="27"/>
  <c r="AF42" i="27"/>
  <c r="AF43" i="27"/>
  <c r="AF44" i="27"/>
  <c r="AF45" i="27"/>
  <c r="AF47" i="27"/>
  <c r="AF54" i="27"/>
  <c r="AF56" i="27"/>
  <c r="AF58" i="27"/>
  <c r="AF59" i="27"/>
  <c r="AF60" i="27"/>
  <c r="AF64" i="27"/>
  <c r="AF65" i="27"/>
  <c r="AF66" i="27"/>
  <c r="AF71" i="27"/>
  <c r="AE18" i="27"/>
  <c r="AF18" i="27" s="1"/>
  <c r="AE19" i="27"/>
  <c r="AF19" i="27" s="1"/>
  <c r="AE20" i="27"/>
  <c r="AE21" i="27"/>
  <c r="AE22" i="27"/>
  <c r="AE23" i="27"/>
  <c r="AE24" i="27"/>
  <c r="AF24" i="27" s="1"/>
  <c r="AE25" i="27"/>
  <c r="AE26" i="27"/>
  <c r="AE27" i="27"/>
  <c r="AE28" i="27"/>
  <c r="AE29" i="27"/>
  <c r="AE30" i="27"/>
  <c r="AE31" i="27"/>
  <c r="AF31" i="27" s="1"/>
  <c r="AE32" i="27"/>
  <c r="AF32" i="27" s="1"/>
  <c r="AE33" i="27"/>
  <c r="AF33" i="27" s="1"/>
  <c r="AE34" i="27"/>
  <c r="AF34" i="27" s="1"/>
  <c r="AE35" i="27"/>
  <c r="AF35" i="27" s="1"/>
  <c r="AE36" i="27"/>
  <c r="AE37" i="27"/>
  <c r="AF37" i="27" s="1"/>
  <c r="AE38" i="27"/>
  <c r="AF38" i="27" s="1"/>
  <c r="AE39" i="27"/>
  <c r="AF39" i="27" s="1"/>
  <c r="AE40" i="27"/>
  <c r="AE41" i="27"/>
  <c r="AE42" i="27"/>
  <c r="AE43" i="27"/>
  <c r="AE44" i="27"/>
  <c r="AE45" i="27"/>
  <c r="AE46" i="27"/>
  <c r="AF46" i="27" s="1"/>
  <c r="AE47" i="27"/>
  <c r="AE48" i="27"/>
  <c r="AF48" i="27" s="1"/>
  <c r="AE49" i="27"/>
  <c r="AF49" i="27" s="1"/>
  <c r="AE50" i="27"/>
  <c r="AF50" i="27" s="1"/>
  <c r="AE51" i="27"/>
  <c r="AF51" i="27" s="1"/>
  <c r="AE52" i="27"/>
  <c r="AF52" i="27" s="1"/>
  <c r="AE53" i="27"/>
  <c r="AF53" i="27" s="1"/>
  <c r="AE54" i="27"/>
  <c r="AE55" i="27"/>
  <c r="AF55" i="27" s="1"/>
  <c r="AE56" i="27"/>
  <c r="AE57" i="27"/>
  <c r="AF57" i="27" s="1"/>
  <c r="AE58" i="27"/>
  <c r="AE59" i="27"/>
  <c r="AE60" i="27"/>
  <c r="AE61" i="27"/>
  <c r="AF61" i="27" s="1"/>
  <c r="AE62" i="27"/>
  <c r="AF62" i="27" s="1"/>
  <c r="AE63" i="27"/>
  <c r="AF63" i="27" s="1"/>
  <c r="AE64" i="27"/>
  <c r="AE65" i="27"/>
  <c r="AE66" i="27"/>
  <c r="AE67" i="27"/>
  <c r="AF67" i="27" s="1"/>
  <c r="AE68" i="27"/>
  <c r="AF68" i="27" s="1"/>
  <c r="AE69" i="27"/>
  <c r="AF69" i="27" s="1"/>
  <c r="AE70" i="27"/>
  <c r="AF70" i="27" s="1"/>
  <c r="AE71" i="27"/>
  <c r="AE72" i="27"/>
  <c r="AF72" i="27" s="1"/>
  <c r="AE73" i="27"/>
  <c r="AF73" i="27" s="1"/>
  <c r="AE74" i="27"/>
  <c r="AF74" i="27" s="1"/>
  <c r="AE75" i="27"/>
  <c r="AF75" i="27" s="1"/>
  <c r="AE76" i="27"/>
  <c r="AF76" i="27" s="1"/>
  <c r="AE77" i="27"/>
  <c r="AF77" i="27" s="1"/>
  <c r="AE78" i="27"/>
  <c r="AF78" i="27" s="1"/>
  <c r="AE79" i="27"/>
  <c r="AF79" i="27" s="1"/>
  <c r="AE80" i="27"/>
  <c r="AF80" i="27" s="1"/>
  <c r="AE81" i="27"/>
  <c r="AF81" i="27" s="1"/>
  <c r="AE82" i="27"/>
  <c r="AF82" i="27" s="1"/>
  <c r="AE83" i="27"/>
  <c r="AF83" i="27" s="1"/>
  <c r="AE84" i="27"/>
  <c r="AF84" i="27" s="1"/>
  <c r="AE10" i="27"/>
  <c r="AE11" i="27"/>
  <c r="AF11" i="27" s="1"/>
  <c r="AE12" i="27"/>
  <c r="AF12" i="27" s="1"/>
  <c r="AE13" i="27"/>
  <c r="AF13" i="27" s="1"/>
  <c r="AE14" i="27"/>
  <c r="AF14" i="27" s="1"/>
  <c r="AE15" i="27"/>
  <c r="AE16" i="27"/>
  <c r="AF16" i="27" s="1"/>
  <c r="AE17" i="27"/>
  <c r="AF17" i="27" s="1"/>
  <c r="M31" i="27"/>
  <c r="M32" i="27"/>
  <c r="M23" i="27"/>
  <c r="AF23" i="27" s="1"/>
  <c r="M25" i="27"/>
  <c r="M26" i="27"/>
  <c r="M28" i="27"/>
  <c r="M29" i="27"/>
  <c r="AE9" i="27"/>
  <c r="AF9" i="27" s="1"/>
  <c r="AT30" i="27" l="1"/>
  <c r="AT31" i="27"/>
  <c r="AT32" i="27"/>
  <c r="AV32" i="27" s="1"/>
  <c r="AT29" i="27"/>
  <c r="AU31" i="27"/>
  <c r="AV31" i="27"/>
  <c r="AU30" i="27"/>
  <c r="AV30" i="27"/>
  <c r="AU29" i="27"/>
  <c r="AV29" i="27"/>
  <c r="AT66" i="27"/>
  <c r="AT44" i="27"/>
  <c r="AU55" i="27"/>
  <c r="BA55" i="27" s="1"/>
  <c r="BB55" i="27"/>
  <c r="AF25" i="27"/>
  <c r="AT76" i="27"/>
  <c r="AT40" i="27"/>
  <c r="AU32" i="27"/>
  <c r="AD15" i="27"/>
  <c r="AT48" i="27"/>
  <c r="AD20" i="27"/>
  <c r="AD25" i="27"/>
  <c r="AD23" i="27"/>
  <c r="AT23" i="27" s="1"/>
  <c r="AU23" i="27" s="1"/>
  <c r="AT83" i="27"/>
  <c r="AU83" i="27" s="1"/>
  <c r="AT82" i="27"/>
  <c r="AV82" i="27" s="1"/>
  <c r="AT81" i="27"/>
  <c r="AV81" i="27" s="1"/>
  <c r="AU81" i="27"/>
  <c r="AT80" i="27"/>
  <c r="AT78" i="27"/>
  <c r="AT77" i="27"/>
  <c r="AT79" i="27"/>
  <c r="AT75" i="27"/>
  <c r="AT73" i="27"/>
  <c r="AT84" i="27"/>
  <c r="AT72" i="27"/>
  <c r="AT71" i="27"/>
  <c r="AT70" i="27"/>
  <c r="AT69" i="27"/>
  <c r="AT68" i="27"/>
  <c r="AT65" i="27"/>
  <c r="AT64" i="27"/>
  <c r="AT63" i="27"/>
  <c r="AT62" i="27"/>
  <c r="AT61" i="27"/>
  <c r="AT60" i="27"/>
  <c r="AT58" i="27"/>
  <c r="AT57" i="27"/>
  <c r="AT56" i="27"/>
  <c r="AT53" i="27"/>
  <c r="AT52" i="27"/>
  <c r="AT51" i="27"/>
  <c r="AT49" i="27"/>
  <c r="AT47" i="27"/>
  <c r="AT46" i="27"/>
  <c r="AT43" i="27"/>
  <c r="AT42" i="27"/>
  <c r="AT41" i="27"/>
  <c r="AT39" i="27"/>
  <c r="AT38" i="27"/>
  <c r="AT37" i="27"/>
  <c r="AT36" i="27"/>
  <c r="AT35" i="27"/>
  <c r="AT34" i="27"/>
  <c r="AT33" i="27"/>
  <c r="AT21" i="27"/>
  <c r="AM14" i="27"/>
  <c r="AJ14" i="27"/>
  <c r="AT14" i="27" s="1"/>
  <c r="AT28" i="27"/>
  <c r="AT19" i="27"/>
  <c r="AT17" i="27"/>
  <c r="AO13" i="27"/>
  <c r="AM13" i="27"/>
  <c r="AJ13" i="27"/>
  <c r="AK13" i="27" s="1"/>
  <c r="AT24" i="27"/>
  <c r="AM16" i="27"/>
  <c r="AT16" i="27"/>
  <c r="AO12" i="27"/>
  <c r="AM12" i="27"/>
  <c r="AJ12" i="27"/>
  <c r="AK12" i="27" s="1"/>
  <c r="AO9" i="27"/>
  <c r="AM9" i="27"/>
  <c r="AJ9" i="27"/>
  <c r="AK9" i="27" s="1"/>
  <c r="AT18" i="27"/>
  <c r="AO11" i="27"/>
  <c r="AM11" i="27"/>
  <c r="AJ11" i="27"/>
  <c r="AK11" i="27" s="1"/>
  <c r="AT26" i="27"/>
  <c r="AM15" i="27"/>
  <c r="AM10" i="27"/>
  <c r="AJ10" i="27"/>
  <c r="AC10" i="27"/>
  <c r="AC11" i="27"/>
  <c r="AD11" i="27" s="1"/>
  <c r="AC9" i="27"/>
  <c r="AD9" i="27" s="1"/>
  <c r="AC12" i="27"/>
  <c r="AD12" i="27" s="1"/>
  <c r="AC13" i="27"/>
  <c r="AD13" i="27" s="1"/>
  <c r="AH9" i="27"/>
  <c r="AI9" i="27" s="1"/>
  <c r="AH11" i="27"/>
  <c r="AI11" i="27" s="1"/>
  <c r="AH10" i="27"/>
  <c r="AI10" i="27" s="1"/>
  <c r="M22" i="27"/>
  <c r="AD22" i="27" s="1"/>
  <c r="M15" i="27"/>
  <c r="M20" i="27"/>
  <c r="AF20" i="27" s="1"/>
  <c r="M10" i="27"/>
  <c r="AO10" i="27" s="1"/>
  <c r="AV83" i="27" l="1"/>
  <c r="BA32" i="27"/>
  <c r="BB32" i="27" s="1"/>
  <c r="BE32" i="27" s="1"/>
  <c r="BA81" i="27"/>
  <c r="BB81" i="27" s="1"/>
  <c r="AT50" i="27"/>
  <c r="AT74" i="27"/>
  <c r="AT45" i="27"/>
  <c r="AU45" i="27" s="1"/>
  <c r="AT59" i="27"/>
  <c r="AU59" i="27" s="1"/>
  <c r="BA29" i="27"/>
  <c r="BB29" i="27" s="1"/>
  <c r="BF29" i="27" s="1"/>
  <c r="AU82" i="27"/>
  <c r="BA82" i="27" s="1"/>
  <c r="BB82" i="27" s="1"/>
  <c r="AU33" i="27"/>
  <c r="AV33" i="27"/>
  <c r="AU71" i="27"/>
  <c r="AV71" i="27"/>
  <c r="AU41" i="27"/>
  <c r="AV41" i="27"/>
  <c r="AU24" i="27"/>
  <c r="AV24" i="27"/>
  <c r="AV51" i="27"/>
  <c r="AU51" i="27"/>
  <c r="AV64" i="27"/>
  <c r="AU64" i="27"/>
  <c r="BA64" i="27" s="1"/>
  <c r="BB64" i="27" s="1"/>
  <c r="AV72" i="27"/>
  <c r="AU72" i="27"/>
  <c r="AV39" i="27"/>
  <c r="AU39" i="27"/>
  <c r="AU57" i="27"/>
  <c r="AV57" i="27"/>
  <c r="AV63" i="27"/>
  <c r="AU63" i="27"/>
  <c r="AU56" i="27"/>
  <c r="AV56" i="27"/>
  <c r="AV65" i="27"/>
  <c r="AU65" i="27"/>
  <c r="BA65" i="27" s="1"/>
  <c r="BB65" i="27" s="1"/>
  <c r="AU16" i="27"/>
  <c r="AV16" i="27"/>
  <c r="AV37" i="27"/>
  <c r="AU37" i="27"/>
  <c r="AV19" i="27"/>
  <c r="AU19" i="27"/>
  <c r="AV50" i="27"/>
  <c r="AU50" i="27"/>
  <c r="AV74" i="27"/>
  <c r="AU74" i="27"/>
  <c r="BA74" i="27" s="1"/>
  <c r="BB74" i="27" s="1"/>
  <c r="AV38" i="27"/>
  <c r="AU38" i="27"/>
  <c r="BA38" i="27" s="1"/>
  <c r="BB38" i="27" s="1"/>
  <c r="AV46" i="27"/>
  <c r="AU46" i="27"/>
  <c r="AU60" i="27"/>
  <c r="AV60" i="27"/>
  <c r="AV75" i="27"/>
  <c r="AU75" i="27"/>
  <c r="AU14" i="27"/>
  <c r="AV14" i="27"/>
  <c r="AU47" i="27"/>
  <c r="AV47" i="27"/>
  <c r="AU61" i="27"/>
  <c r="AV61" i="27"/>
  <c r="AU26" i="27"/>
  <c r="AV26" i="27"/>
  <c r="AU17" i="27"/>
  <c r="AV17" i="27"/>
  <c r="AV21" i="27"/>
  <c r="AU21" i="27"/>
  <c r="AU58" i="27"/>
  <c r="AV58" i="27"/>
  <c r="AV18" i="27"/>
  <c r="AU18" i="27"/>
  <c r="BA18" i="27" s="1"/>
  <c r="BB18" i="27" s="1"/>
  <c r="BA30" i="27"/>
  <c r="BB30" i="27" s="1"/>
  <c r="AV53" i="27"/>
  <c r="AU53" i="27"/>
  <c r="BA53" i="27" s="1"/>
  <c r="BB53" i="27" s="1"/>
  <c r="AU70" i="27"/>
  <c r="AV70" i="27"/>
  <c r="AV23" i="27"/>
  <c r="BA23" i="27" s="1"/>
  <c r="BB23" i="27" s="1"/>
  <c r="AU48" i="27"/>
  <c r="AV48" i="27"/>
  <c r="AV76" i="27"/>
  <c r="AU76" i="27"/>
  <c r="BA76" i="27" s="1"/>
  <c r="BB76" i="27" s="1"/>
  <c r="AU68" i="27"/>
  <c r="AV68" i="27"/>
  <c r="AU43" i="27"/>
  <c r="AV43" i="27"/>
  <c r="BF32" i="27"/>
  <c r="BD32" i="27"/>
  <c r="AU69" i="27"/>
  <c r="AV69" i="27"/>
  <c r="AV36" i="27"/>
  <c r="AU36" i="27"/>
  <c r="AV35" i="27"/>
  <c r="AU35" i="27"/>
  <c r="BA35" i="27" s="1"/>
  <c r="BB35" i="27"/>
  <c r="AU40" i="27"/>
  <c r="AV40" i="27"/>
  <c r="BD29" i="27"/>
  <c r="BE29" i="27"/>
  <c r="AV73" i="27"/>
  <c r="AU73" i="27"/>
  <c r="AV62" i="27"/>
  <c r="AU62" i="27"/>
  <c r="AU44" i="27"/>
  <c r="AV44" i="27"/>
  <c r="AV52" i="27"/>
  <c r="AU52" i="27"/>
  <c r="BA52" i="27" s="1"/>
  <c r="BB52" i="27" s="1"/>
  <c r="AT15" i="27"/>
  <c r="BE55" i="27"/>
  <c r="BD55" i="27"/>
  <c r="BF55" i="27"/>
  <c r="BA31" i="27"/>
  <c r="BB31" i="27" s="1"/>
  <c r="AV66" i="27"/>
  <c r="AU66" i="27"/>
  <c r="AT54" i="27"/>
  <c r="AT67" i="27"/>
  <c r="AF22" i="27"/>
  <c r="AU49" i="27"/>
  <c r="AV49" i="27"/>
  <c r="AU34" i="27"/>
  <c r="AV34" i="27"/>
  <c r="AV42" i="27"/>
  <c r="AU42" i="27"/>
  <c r="AV28" i="27"/>
  <c r="AU28" i="27"/>
  <c r="BE81" i="27"/>
  <c r="BF81" i="27"/>
  <c r="BD81" i="27"/>
  <c r="AU84" i="27"/>
  <c r="AV84" i="27"/>
  <c r="AV79" i="27"/>
  <c r="AU79" i="27"/>
  <c r="BA79" i="27" s="1"/>
  <c r="BB79" i="27" s="1"/>
  <c r="BA83" i="27"/>
  <c r="BB83" i="27" s="1"/>
  <c r="AV78" i="27"/>
  <c r="AU78" i="27"/>
  <c r="AV80" i="27"/>
  <c r="AU80" i="27"/>
  <c r="AV77" i="27"/>
  <c r="AU77" i="27"/>
  <c r="BA77" i="27" s="1"/>
  <c r="BB77" i="27" s="1"/>
  <c r="AK10" i="27"/>
  <c r="AF10" i="27"/>
  <c r="AT20" i="27"/>
  <c r="AT22" i="27"/>
  <c r="AT9" i="27"/>
  <c r="AU9" i="27" s="1"/>
  <c r="AF15" i="27"/>
  <c r="AT12" i="27"/>
  <c r="AV12" i="27" s="1"/>
  <c r="AT27" i="27"/>
  <c r="AT13" i="27"/>
  <c r="AV13" i="27" s="1"/>
  <c r="AT11" i="27"/>
  <c r="AD10" i="27"/>
  <c r="AV45" i="27" l="1"/>
  <c r="BA41" i="27"/>
  <c r="BB41" i="27" s="1"/>
  <c r="BF41" i="27" s="1"/>
  <c r="BA72" i="27"/>
  <c r="BB72" i="27" s="1"/>
  <c r="BF72" i="27" s="1"/>
  <c r="BA37" i="27"/>
  <c r="BB37" i="27" s="1"/>
  <c r="AV59" i="27"/>
  <c r="BA62" i="27"/>
  <c r="BB62" i="27" s="1"/>
  <c r="BA36" i="27"/>
  <c r="BB36" i="27" s="1"/>
  <c r="BD36" i="27" s="1"/>
  <c r="BA50" i="27"/>
  <c r="BB50" i="27" s="1"/>
  <c r="BF50" i="27" s="1"/>
  <c r="BA51" i="27"/>
  <c r="BB51" i="27" s="1"/>
  <c r="BD51" i="27" s="1"/>
  <c r="BA24" i="27"/>
  <c r="BB24" i="27" s="1"/>
  <c r="BF24" i="27" s="1"/>
  <c r="BA28" i="27"/>
  <c r="BB28" i="27" s="1"/>
  <c r="BE28" i="27" s="1"/>
  <c r="BA66" i="27"/>
  <c r="BB66" i="27" s="1"/>
  <c r="BE66" i="27" s="1"/>
  <c r="BA56" i="27"/>
  <c r="BB56" i="27" s="1"/>
  <c r="BD56" i="27" s="1"/>
  <c r="BE41" i="27"/>
  <c r="BA33" i="27"/>
  <c r="BB33" i="27" s="1"/>
  <c r="BF33" i="27" s="1"/>
  <c r="BA42" i="27"/>
  <c r="BB42" i="27" s="1"/>
  <c r="BF42" i="27" s="1"/>
  <c r="BA75" i="27"/>
  <c r="BB75" i="27" s="1"/>
  <c r="BD75" i="27" s="1"/>
  <c r="BD41" i="27"/>
  <c r="BA63" i="27"/>
  <c r="BB63" i="27" s="1"/>
  <c r="BE63" i="27" s="1"/>
  <c r="BA78" i="27"/>
  <c r="BB78" i="27" s="1"/>
  <c r="BF78" i="27" s="1"/>
  <c r="BA73" i="27"/>
  <c r="BB73" i="27" s="1"/>
  <c r="BD73" i="27" s="1"/>
  <c r="BE37" i="27"/>
  <c r="BD37" i="27"/>
  <c r="BF37" i="27"/>
  <c r="BE52" i="27"/>
  <c r="BF52" i="27"/>
  <c r="BD52" i="27"/>
  <c r="BE38" i="27"/>
  <c r="BD38" i="27"/>
  <c r="BF38" i="27"/>
  <c r="BF18" i="27"/>
  <c r="BD18" i="27"/>
  <c r="BE18" i="27"/>
  <c r="BE65" i="27"/>
  <c r="BF65" i="27"/>
  <c r="BD65" i="27"/>
  <c r="BE76" i="27"/>
  <c r="BD76" i="27"/>
  <c r="BF76" i="27"/>
  <c r="BE64" i="27"/>
  <c r="BF64" i="27"/>
  <c r="BD64" i="27"/>
  <c r="BF63" i="27"/>
  <c r="BD63" i="27"/>
  <c r="BE53" i="27"/>
  <c r="BF53" i="27"/>
  <c r="BD53" i="27"/>
  <c r="BE72" i="27"/>
  <c r="BF74" i="27"/>
  <c r="BD74" i="27"/>
  <c r="BE74" i="27"/>
  <c r="AV20" i="27"/>
  <c r="AU20" i="27"/>
  <c r="BA20" i="27" s="1"/>
  <c r="BB20" i="27" s="1"/>
  <c r="BF62" i="27"/>
  <c r="BD62" i="27"/>
  <c r="BE62" i="27"/>
  <c r="BE36" i="27"/>
  <c r="AV22" i="27"/>
  <c r="AU22" i="27"/>
  <c r="AU15" i="27"/>
  <c r="AV15" i="27"/>
  <c r="BA14" i="27"/>
  <c r="BA59" i="27"/>
  <c r="BB59" i="27" s="1"/>
  <c r="AV54" i="27"/>
  <c r="AU54" i="27"/>
  <c r="BA54" i="27" s="1"/>
  <c r="BB54" i="27" s="1"/>
  <c r="BA69" i="27"/>
  <c r="BB69" i="27" s="1"/>
  <c r="BA16" i="27"/>
  <c r="BB16" i="27" s="1"/>
  <c r="BA48" i="27"/>
  <c r="BB48" i="27" s="1"/>
  <c r="AT25" i="27"/>
  <c r="AV25" i="27" s="1"/>
  <c r="BA44" i="27"/>
  <c r="BB44" i="27" s="1"/>
  <c r="BA71" i="27"/>
  <c r="BB71" i="27" s="1"/>
  <c r="BF35" i="27"/>
  <c r="BE35" i="27"/>
  <c r="BD35" i="27"/>
  <c r="BF31" i="27"/>
  <c r="BD31" i="27"/>
  <c r="BE31" i="27"/>
  <c r="BA61" i="27"/>
  <c r="BB61" i="27" s="1"/>
  <c r="BA57" i="27"/>
  <c r="BB57" i="27" s="1"/>
  <c r="BA45" i="27"/>
  <c r="BB45" i="27" s="1"/>
  <c r="BF30" i="27"/>
  <c r="BD30" i="27"/>
  <c r="BE30" i="27"/>
  <c r="BA43" i="27"/>
  <c r="BB43" i="27" s="1"/>
  <c r="BA58" i="27"/>
  <c r="BB58" i="27" s="1"/>
  <c r="BA46" i="27"/>
  <c r="BB46" i="27" s="1"/>
  <c r="BA39" i="27"/>
  <c r="BB39" i="27" s="1"/>
  <c r="BA68" i="27"/>
  <c r="BB68" i="27" s="1"/>
  <c r="BA47" i="27"/>
  <c r="BB47" i="27" s="1"/>
  <c r="AU67" i="27"/>
  <c r="AV67" i="27"/>
  <c r="BA17" i="27"/>
  <c r="BB17" i="27" s="1"/>
  <c r="BA40" i="27"/>
  <c r="BB40" i="27" s="1"/>
  <c r="BA26" i="27"/>
  <c r="BB26" i="27" s="1"/>
  <c r="BA60" i="27"/>
  <c r="BB60" i="27" s="1"/>
  <c r="BA70" i="27"/>
  <c r="BB70" i="27" s="1"/>
  <c r="BA21" i="27"/>
  <c r="BB21" i="27" s="1"/>
  <c r="BA19" i="27"/>
  <c r="BB19" i="27" s="1"/>
  <c r="BA49" i="27"/>
  <c r="BB49" i="27" s="1"/>
  <c r="BA34" i="27"/>
  <c r="BB34" i="27" s="1"/>
  <c r="AV27" i="27"/>
  <c r="AU27" i="27"/>
  <c r="BD23" i="27"/>
  <c r="BF23" i="27"/>
  <c r="BE23" i="27"/>
  <c r="BA80" i="27"/>
  <c r="BB80" i="27" s="1"/>
  <c r="BD80" i="27" s="1"/>
  <c r="BE78" i="27"/>
  <c r="BE79" i="27"/>
  <c r="BD79" i="27"/>
  <c r="BF79" i="27"/>
  <c r="BF77" i="27"/>
  <c r="BE77" i="27"/>
  <c r="BD77" i="27"/>
  <c r="BD83" i="27"/>
  <c r="BF83" i="27"/>
  <c r="BE83" i="27"/>
  <c r="BA84" i="27"/>
  <c r="BB84" i="27" s="1"/>
  <c r="BD82" i="27"/>
  <c r="BE82" i="27"/>
  <c r="BF82" i="27"/>
  <c r="AT10" i="27"/>
  <c r="AU10" i="27" s="1"/>
  <c r="AU13" i="27"/>
  <c r="BA13" i="27" s="1"/>
  <c r="BB13" i="27" s="1"/>
  <c r="AV9" i="27"/>
  <c r="BA9" i="27" s="1"/>
  <c r="BB9" i="27" s="1"/>
  <c r="BF9" i="27" s="1"/>
  <c r="AU12" i="27"/>
  <c r="BA12" i="27" s="1"/>
  <c r="BB12" i="27" s="1"/>
  <c r="AV11" i="27"/>
  <c r="AU11" i="27"/>
  <c r="BD78" i="27" l="1"/>
  <c r="BD28" i="27"/>
  <c r="BD50" i="27"/>
  <c r="BD72" i="27"/>
  <c r="BE50" i="27"/>
  <c r="BF75" i="27"/>
  <c r="BF36" i="27"/>
  <c r="BF28" i="27"/>
  <c r="BF51" i="27"/>
  <c r="BA22" i="27"/>
  <c r="BB22" i="27" s="1"/>
  <c r="BD22" i="27" s="1"/>
  <c r="BE24" i="27"/>
  <c r="BE51" i="27"/>
  <c r="BD24" i="27"/>
  <c r="BF66" i="27"/>
  <c r="BE75" i="27"/>
  <c r="BD42" i="27"/>
  <c r="BD66" i="27"/>
  <c r="BF56" i="27"/>
  <c r="BE33" i="27"/>
  <c r="BE42" i="27"/>
  <c r="BE56" i="27"/>
  <c r="BA27" i="27"/>
  <c r="BB27" i="27" s="1"/>
  <c r="BF27" i="27" s="1"/>
  <c r="BA67" i="27"/>
  <c r="BB67" i="27" s="1"/>
  <c r="BF67" i="27" s="1"/>
  <c r="BD33" i="27"/>
  <c r="BF73" i="27"/>
  <c r="BE73" i="27"/>
  <c r="BE20" i="27"/>
  <c r="BF20" i="27"/>
  <c r="BD20" i="27"/>
  <c r="BE54" i="27"/>
  <c r="BF54" i="27"/>
  <c r="BD54" i="27"/>
  <c r="BF47" i="27"/>
  <c r="BD47" i="27"/>
  <c r="BE47" i="27"/>
  <c r="BD57" i="27"/>
  <c r="BF57" i="27"/>
  <c r="BE57" i="27"/>
  <c r="BF61" i="27"/>
  <c r="BD61" i="27"/>
  <c r="BE61" i="27"/>
  <c r="BE26" i="27"/>
  <c r="BF26" i="27"/>
  <c r="BD26" i="27"/>
  <c r="AU25" i="27"/>
  <c r="BA25" i="27" s="1"/>
  <c r="BB25" i="27" s="1"/>
  <c r="BE25" i="27" s="1"/>
  <c r="BF58" i="27"/>
  <c r="BD58" i="27"/>
  <c r="BE58" i="27"/>
  <c r="BF59" i="27"/>
  <c r="BD59" i="27"/>
  <c r="BE59" i="27"/>
  <c r="BF70" i="27"/>
  <c r="BD70" i="27"/>
  <c r="BE70" i="27"/>
  <c r="BF60" i="27"/>
  <c r="BD60" i="27"/>
  <c r="BE60" i="27"/>
  <c r="BF48" i="27"/>
  <c r="BE48" i="27"/>
  <c r="BD48" i="27"/>
  <c r="BF16" i="27"/>
  <c r="BD16" i="27"/>
  <c r="BE16" i="27"/>
  <c r="BD69" i="27"/>
  <c r="BF69" i="27"/>
  <c r="BE69" i="27"/>
  <c r="BF46" i="27"/>
  <c r="BD46" i="27"/>
  <c r="BE46" i="27"/>
  <c r="BE40" i="27"/>
  <c r="BF40" i="27"/>
  <c r="BD40" i="27"/>
  <c r="BE43" i="27"/>
  <c r="BF43" i="27"/>
  <c r="BD43" i="27"/>
  <c r="BE19" i="27"/>
  <c r="BF19" i="27"/>
  <c r="BD19" i="27"/>
  <c r="BF17" i="27"/>
  <c r="BD17" i="27"/>
  <c r="BE17" i="27"/>
  <c r="BD44" i="27"/>
  <c r="BE44" i="27"/>
  <c r="BF44" i="27"/>
  <c r="BF68" i="27"/>
  <c r="BE68" i="27"/>
  <c r="BD68" i="27"/>
  <c r="BE39" i="27"/>
  <c r="BF39" i="27"/>
  <c r="BD39" i="27"/>
  <c r="BE21" i="27"/>
  <c r="BF21" i="27"/>
  <c r="BD21" i="27"/>
  <c r="BF45" i="27"/>
  <c r="BD45" i="27"/>
  <c r="BE45" i="27"/>
  <c r="BF71" i="27"/>
  <c r="BD71" i="27"/>
  <c r="BE71" i="27"/>
  <c r="BA15" i="27"/>
  <c r="BB15" i="27" s="1"/>
  <c r="BD49" i="27"/>
  <c r="BE49" i="27"/>
  <c r="BF49" i="27"/>
  <c r="BD34" i="27"/>
  <c r="BE34" i="27"/>
  <c r="BF34" i="27"/>
  <c r="BE80" i="27"/>
  <c r="BF80" i="27"/>
  <c r="BD84" i="27"/>
  <c r="BF84" i="27"/>
  <c r="BE84" i="27"/>
  <c r="AV10" i="27"/>
  <c r="BA10" i="27" s="1"/>
  <c r="BB10" i="27" s="1"/>
  <c r="BF10" i="27" s="1"/>
  <c r="BA11" i="27"/>
  <c r="BB11" i="27" s="1"/>
  <c r="BE11" i="27" s="1"/>
  <c r="BE9" i="27"/>
  <c r="BD9" i="27"/>
  <c r="BB14" i="27"/>
  <c r="BF12" i="27"/>
  <c r="BD12" i="27"/>
  <c r="BE12" i="27"/>
  <c r="BF13" i="27"/>
  <c r="BE13" i="27"/>
  <c r="BD13" i="27"/>
  <c r="BF22" i="27" l="1"/>
  <c r="BE22" i="27"/>
  <c r="BE67" i="27"/>
  <c r="BD67" i="27"/>
  <c r="BE27" i="27"/>
  <c r="BD27" i="27"/>
  <c r="BF15" i="27"/>
  <c r="BD15" i="27"/>
  <c r="BE15" i="27"/>
  <c r="BF25" i="27"/>
  <c r="BF14" i="27"/>
  <c r="BE14" i="27"/>
  <c r="BD25" i="27"/>
  <c r="BD10" i="27"/>
  <c r="BE10" i="27"/>
  <c r="BF11" i="27"/>
  <c r="BD11" i="27"/>
  <c r="BD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tc={B469A987-353F-4315-926F-84E462535691}</author>
    <author>tc={37ED1DF3-DFD0-4D65-B460-9025B492E5B4}</author>
    <author>tc={75136F81-6AEA-4F86-86AA-B2B47750DAB6}</author>
  </authors>
  <commentList>
    <comment ref="AH41" authorId="0" shapeId="0" xr:uid="{B469A987-353F-4315-926F-84E4625356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SUBIO LA REQUISICION TRABAJO DOMINGO 31 DE MAYO</t>
      </text>
    </comment>
    <comment ref="Y60" authorId="1" shapeId="0" xr:uid="{37ED1DF3-DFD0-4D65-B460-9025B492E5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LIMPIEZA PSMT</t>
      </text>
    </comment>
    <comment ref="AH65" authorId="2" shapeId="0" xr:uid="{75136F81-6AEA-4F86-86AA-B2B47750DA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SUBIO LA REQUISICION TRABAJO DOMINGO 31 DE MAYO </t>
      </text>
    </comment>
  </commentList>
</comments>
</file>

<file path=xl/sharedStrings.xml><?xml version="1.0" encoding="utf-8"?>
<sst xmlns="http://schemas.openxmlformats.org/spreadsheetml/2006/main" count="1046" uniqueCount="326">
  <si>
    <t>No.</t>
  </si>
  <si>
    <t>Nombre del Puesto</t>
  </si>
  <si>
    <t>MES//PRESUPUESTO:</t>
  </si>
  <si>
    <t>PAIS</t>
  </si>
  <si>
    <t>Panamá</t>
  </si>
  <si>
    <t>País</t>
  </si>
  <si>
    <t xml:space="preserve">Salario por día </t>
  </si>
  <si>
    <t xml:space="preserve">Incapacidad </t>
  </si>
  <si>
    <t>Salario Mensual</t>
  </si>
  <si>
    <t>Días Laborados</t>
  </si>
  <si>
    <t xml:space="preserve">Total de Días Laborados </t>
  </si>
  <si>
    <t>Total Incapacidad</t>
  </si>
  <si>
    <t xml:space="preserve">Salario Domingo </t>
  </si>
  <si>
    <t xml:space="preserve">Domingos Laborados </t>
  </si>
  <si>
    <t xml:space="preserve">Total Domingos </t>
  </si>
  <si>
    <t>Día Trabajado al 150%</t>
  </si>
  <si>
    <t>Total de Feridos al 150%</t>
  </si>
  <si>
    <t>Día Trabajado al 50%</t>
  </si>
  <si>
    <t>Total de Feridos al 50%</t>
  </si>
  <si>
    <t xml:space="preserve">Valor Total Horas Extras </t>
  </si>
  <si>
    <t>SALARIO BRUTO</t>
  </si>
  <si>
    <t>S.S.  9.75%</t>
  </si>
  <si>
    <t>S.E. 1.25%</t>
  </si>
  <si>
    <t xml:space="preserve">I/R </t>
  </si>
  <si>
    <t xml:space="preserve">Bonificacion </t>
  </si>
  <si>
    <t>Prestamo</t>
  </si>
  <si>
    <t>Total de descuentos</t>
  </si>
  <si>
    <t>i</t>
  </si>
  <si>
    <t xml:space="preserve">Días vacaciones </t>
  </si>
  <si>
    <t>Total Vacaciones</t>
  </si>
  <si>
    <t xml:space="preserve">S.S. PATRONO 12.25% </t>
  </si>
  <si>
    <t>S.EDUCATIVO PATRONO  1.50%</t>
  </si>
  <si>
    <t>RIESGO PROFESIONAL  0.021%</t>
  </si>
  <si>
    <t xml:space="preserve">INSTRUCCIONES </t>
  </si>
  <si>
    <t xml:space="preserve">DIA REGULAR LABORADO </t>
  </si>
  <si>
    <t>F</t>
  </si>
  <si>
    <t>FC</t>
  </si>
  <si>
    <t>INCAPACIDAD</t>
  </si>
  <si>
    <t>D</t>
  </si>
  <si>
    <t xml:space="preserve">DOMINGO LABORADO </t>
  </si>
  <si>
    <t>FESTIVO AL 50%</t>
  </si>
  <si>
    <t>FESTIVO AL 150%</t>
  </si>
  <si>
    <t>V</t>
  </si>
  <si>
    <t>VACACIONES</t>
  </si>
  <si>
    <t>PANAMÁ</t>
  </si>
  <si>
    <t xml:space="preserve">BAC </t>
  </si>
  <si>
    <t>Club David 6204</t>
  </si>
  <si>
    <t xml:space="preserve">DEMOSTRADORA </t>
  </si>
  <si>
    <t>Club Costa Verde 6206</t>
  </si>
  <si>
    <t>PA89221206</t>
  </si>
  <si>
    <t>GILLIANY MORENO</t>
  </si>
  <si>
    <t>PA8714733</t>
  </si>
  <si>
    <t>GLENA GOMEZ</t>
  </si>
  <si>
    <t>PA37361843</t>
  </si>
  <si>
    <t>LIZABETH DELGADO</t>
  </si>
  <si>
    <t>PA8777678</t>
  </si>
  <si>
    <t>OMAYDA MARTINEZ</t>
  </si>
  <si>
    <t>n</t>
  </si>
  <si>
    <t>P</t>
  </si>
  <si>
    <t>I</t>
  </si>
  <si>
    <t>8-777-678</t>
  </si>
  <si>
    <t>3-736-1843</t>
  </si>
  <si>
    <t>8-714-733</t>
  </si>
  <si>
    <t>8-922-1206</t>
  </si>
  <si>
    <t xml:space="preserve">        </t>
  </si>
  <si>
    <t>OBSERVACIONES</t>
  </si>
  <si>
    <t>Otros  descuentos</t>
  </si>
  <si>
    <t>BRITTANY MUÑOZ</t>
  </si>
  <si>
    <t>8-1037-2326</t>
  </si>
  <si>
    <t>PA810372326</t>
  </si>
  <si>
    <t>IMPULSADOR</t>
  </si>
  <si>
    <t>MILENE GONZALEZ</t>
  </si>
  <si>
    <t>YULEISIS DELGADO</t>
  </si>
  <si>
    <t>4-828-1596</t>
  </si>
  <si>
    <t>SALARIO NETO</t>
  </si>
  <si>
    <t xml:space="preserve">Horas Extras </t>
  </si>
  <si>
    <t>YARELIS SUIRA</t>
  </si>
  <si>
    <t>PA4821319</t>
  </si>
  <si>
    <t>PAGO PENDIENTE CANCELADO</t>
  </si>
  <si>
    <t>PAGO POR RECARGO NO APLICADO</t>
  </si>
  <si>
    <t xml:space="preserve">FANY DE BASTIDAS </t>
  </si>
  <si>
    <t xml:space="preserve">YENEIRA HOOKER </t>
  </si>
  <si>
    <t>10-710-972</t>
  </si>
  <si>
    <t>PA10710972</t>
  </si>
  <si>
    <t>12-700-754</t>
  </si>
  <si>
    <t>PA12700754</t>
  </si>
  <si>
    <t>8-844-365</t>
  </si>
  <si>
    <t>PA8844365</t>
  </si>
  <si>
    <t>Club Metropark 6208</t>
  </si>
  <si>
    <t>KARLA MIRANDA</t>
  </si>
  <si>
    <t>ROSALIA ARAUZ</t>
  </si>
  <si>
    <t>MARIA ATENCIO</t>
  </si>
  <si>
    <t>NOEMY ORTIZ</t>
  </si>
  <si>
    <t xml:space="preserve">LISNI VALDERRAMA </t>
  </si>
  <si>
    <t>DORA BLANDFORD</t>
  </si>
  <si>
    <t xml:space="preserve">LUZ MARTINEZ </t>
  </si>
  <si>
    <t>ALEJANDRINA DELGADO</t>
  </si>
  <si>
    <t xml:space="preserve">YEISY SEGURA </t>
  </si>
  <si>
    <t>4-797-949</t>
  </si>
  <si>
    <t>PA4797949</t>
  </si>
  <si>
    <t>4-797-75</t>
  </si>
  <si>
    <t>PA479775</t>
  </si>
  <si>
    <t>LOREIN IBARRA</t>
  </si>
  <si>
    <t>4-774-1411</t>
  </si>
  <si>
    <t>PA47741411</t>
  </si>
  <si>
    <t>8-898-1377</t>
  </si>
  <si>
    <t>PA88981377</t>
  </si>
  <si>
    <t>9-763-1448</t>
  </si>
  <si>
    <t>PA97631448</t>
  </si>
  <si>
    <t>2-709-2277</t>
  </si>
  <si>
    <t>PA27092277</t>
  </si>
  <si>
    <t>8-1066-569</t>
  </si>
  <si>
    <t>PA81066569</t>
  </si>
  <si>
    <t>8-990-7</t>
  </si>
  <si>
    <t>PA89907</t>
  </si>
  <si>
    <t>PA8863753</t>
  </si>
  <si>
    <t>8-863-753</t>
  </si>
  <si>
    <t>8-745-33</t>
  </si>
  <si>
    <t>PA874533</t>
  </si>
  <si>
    <t>DIOINIVETH GALVEZ</t>
  </si>
  <si>
    <t>8-926-1145</t>
  </si>
  <si>
    <t>PA89261145</t>
  </si>
  <si>
    <t>8-884-2387</t>
  </si>
  <si>
    <t>8-860-685</t>
  </si>
  <si>
    <t>PA8860685</t>
  </si>
  <si>
    <t>DANYELI LEZCANO</t>
  </si>
  <si>
    <t>YORKELLIS GUTIERREZ</t>
  </si>
  <si>
    <t>DELIA MARTINEZ</t>
  </si>
  <si>
    <t>LAURA  SANTOYA</t>
  </si>
  <si>
    <t>PA88842387</t>
  </si>
  <si>
    <t>4-779-2280</t>
  </si>
  <si>
    <t>PA47792280</t>
  </si>
  <si>
    <t>8-781-644</t>
  </si>
  <si>
    <t>8-962-684</t>
  </si>
  <si>
    <t>PA8781644</t>
  </si>
  <si>
    <t>PA8962684</t>
  </si>
  <si>
    <t>4-828-928</t>
  </si>
  <si>
    <t>PA4828928</t>
  </si>
  <si>
    <t>DAYRA RODRIGUEZ</t>
  </si>
  <si>
    <t>8-882-464</t>
  </si>
  <si>
    <t>PA8882464</t>
  </si>
  <si>
    <t>8-791-1052</t>
  </si>
  <si>
    <t>PA87911052</t>
  </si>
  <si>
    <t xml:space="preserve">NELLY MORALES </t>
  </si>
  <si>
    <t>AURA SANTAMARIA</t>
  </si>
  <si>
    <t>PSMT DAVID</t>
  </si>
  <si>
    <t>JUDITH RODRIGUEZ</t>
  </si>
  <si>
    <t>PSMT COSTA VERDE</t>
  </si>
  <si>
    <t>PSMT METRO PARK</t>
  </si>
  <si>
    <t>ALMA TOOD</t>
  </si>
  <si>
    <t>22/01/2026</t>
  </si>
  <si>
    <t>26/02/2026</t>
  </si>
  <si>
    <t>29/10/2025</t>
  </si>
  <si>
    <t>17/11/2025</t>
  </si>
  <si>
    <t>17/12/2025</t>
  </si>
  <si>
    <t>4-815-2343</t>
  </si>
  <si>
    <t>PA48152343</t>
  </si>
  <si>
    <t>4-763-323</t>
  </si>
  <si>
    <t>PA4763323</t>
  </si>
  <si>
    <t>28/03/2026</t>
  </si>
  <si>
    <t>9-749-2145</t>
  </si>
  <si>
    <t>PA97492145</t>
  </si>
  <si>
    <t>23/03/2026</t>
  </si>
  <si>
    <t>16/01/2026</t>
  </si>
  <si>
    <t>21/07/2023</t>
  </si>
  <si>
    <t>23/06/2023</t>
  </si>
  <si>
    <t>17/03/2026</t>
  </si>
  <si>
    <t>18/03/2026</t>
  </si>
  <si>
    <t>8-455-743</t>
  </si>
  <si>
    <t>PA8455743</t>
  </si>
  <si>
    <t>4-832-419</t>
  </si>
  <si>
    <t>PA4832419</t>
  </si>
  <si>
    <t>8-942-2047</t>
  </si>
  <si>
    <t>PA89422047</t>
  </si>
  <si>
    <t>8-701-763</t>
  </si>
  <si>
    <t>PA8701763</t>
  </si>
  <si>
    <t>KATHERIN CASTRO</t>
  </si>
  <si>
    <t>IRMA JIMENEZ</t>
  </si>
  <si>
    <t>ALESSANDRA IBARRA</t>
  </si>
  <si>
    <t>BRITANY CABALLERO</t>
  </si>
  <si>
    <t>ASTRID ANGULO</t>
  </si>
  <si>
    <t>8-994-1635</t>
  </si>
  <si>
    <t>PA89941635</t>
  </si>
  <si>
    <t>8-978-2195</t>
  </si>
  <si>
    <t>PA89782195</t>
  </si>
  <si>
    <t>4-817-1668</t>
  </si>
  <si>
    <t>4-802-1165</t>
  </si>
  <si>
    <t>4-780-2430</t>
  </si>
  <si>
    <t>PA48171668</t>
  </si>
  <si>
    <t>PA48021165</t>
  </si>
  <si>
    <t>PA47802430</t>
  </si>
  <si>
    <t>BANCO GENERAL</t>
  </si>
  <si>
    <t>LINETH FLORES</t>
  </si>
  <si>
    <t>SUSANNE VALDES</t>
  </si>
  <si>
    <t>YARITZEL BARRIOS</t>
  </si>
  <si>
    <t>NITZIA MORENO</t>
  </si>
  <si>
    <t>24/04/2026</t>
  </si>
  <si>
    <t>8-854-369</t>
  </si>
  <si>
    <t>8-903-2106</t>
  </si>
  <si>
    <t>PA89032106</t>
  </si>
  <si>
    <t>PA8854369</t>
  </si>
  <si>
    <t>8-987-2092</t>
  </si>
  <si>
    <t>PA89872092</t>
  </si>
  <si>
    <t>8-978-841</t>
  </si>
  <si>
    <t>PA8978841</t>
  </si>
  <si>
    <t>21/04/2026</t>
  </si>
  <si>
    <t xml:space="preserve">DIANETH HERNANDEZ </t>
  </si>
  <si>
    <t>MAGDELEY QUIROZ</t>
  </si>
  <si>
    <t>MICHELL SPRINGER</t>
  </si>
  <si>
    <t>NOEMY CEDEÑO</t>
  </si>
  <si>
    <t>RUT EUNICE ALVAREZ</t>
  </si>
  <si>
    <t>JULIAN MADRID</t>
  </si>
  <si>
    <t>GENEVA  FORERO</t>
  </si>
  <si>
    <t>DAYANARA  VEGA</t>
  </si>
  <si>
    <t>JOYCE  JAMES</t>
  </si>
  <si>
    <t xml:space="preserve">PRICILLA ESPINOZA </t>
  </si>
  <si>
    <t>8-988-997</t>
  </si>
  <si>
    <t>PA8988997</t>
  </si>
  <si>
    <t>8-850-2068</t>
  </si>
  <si>
    <t>PA88502068</t>
  </si>
  <si>
    <t>4-743-2139</t>
  </si>
  <si>
    <t>PA47432139</t>
  </si>
  <si>
    <t>13/05/2026</t>
  </si>
  <si>
    <t>KEYTLIN CASTILLO</t>
  </si>
  <si>
    <t>DANEIZA BEITIA</t>
  </si>
  <si>
    <t>GISLEINIE MACKENZIE</t>
  </si>
  <si>
    <t>JOSSIE CEDEÑO</t>
  </si>
  <si>
    <t>VANESSA QUINTERO</t>
  </si>
  <si>
    <t>DANIELA ARCIA</t>
  </si>
  <si>
    <t>X</t>
  </si>
  <si>
    <t>YENLESKI GORDON</t>
  </si>
  <si>
    <t xml:space="preserve">ESTHEPANIE HERAZO </t>
  </si>
  <si>
    <t>CRISTAL ENITH TORRES</t>
  </si>
  <si>
    <t xml:space="preserve">REYNA NORIN FLORES </t>
  </si>
  <si>
    <t>YATZUMARI ALVARADO</t>
  </si>
  <si>
    <t>Ban1o</t>
  </si>
  <si>
    <t>No. De 1uenta</t>
  </si>
  <si>
    <t>1édula</t>
  </si>
  <si>
    <t>1ódigo Empleado Kronos</t>
  </si>
  <si>
    <t>1liente/Proye1to</t>
  </si>
  <si>
    <t xml:space="preserve">Su1ursal(Punto de venta) </t>
  </si>
  <si>
    <t>Fe1ha de Alta</t>
  </si>
  <si>
    <t>4-813-1199</t>
  </si>
  <si>
    <t>PA48131199</t>
  </si>
  <si>
    <t>4-836-2051</t>
  </si>
  <si>
    <t>PA48362051</t>
  </si>
  <si>
    <t>1-758-314</t>
  </si>
  <si>
    <t>PA1758314</t>
  </si>
  <si>
    <t>4-820-819</t>
  </si>
  <si>
    <t>PA4820819</t>
  </si>
  <si>
    <t>4-803-778</t>
  </si>
  <si>
    <t>4-755-263</t>
  </si>
  <si>
    <t>4-832-1282</t>
  </si>
  <si>
    <t>PA48321282</t>
  </si>
  <si>
    <t>PA4755263</t>
  </si>
  <si>
    <t>CAROL ABREGO</t>
  </si>
  <si>
    <t>8-999-868</t>
  </si>
  <si>
    <t>PA8999868</t>
  </si>
  <si>
    <t>8-936-1828</t>
  </si>
  <si>
    <t>8-893-1567</t>
  </si>
  <si>
    <t>8-975-1888</t>
  </si>
  <si>
    <t>8-963-2284</t>
  </si>
  <si>
    <t>PA89632284</t>
  </si>
  <si>
    <t>27/05/2026</t>
  </si>
  <si>
    <t>28/05/2026</t>
  </si>
  <si>
    <t>25/05/2026</t>
  </si>
  <si>
    <t>16/05/2026</t>
  </si>
  <si>
    <t>PA88931567</t>
  </si>
  <si>
    <t>PA89751888</t>
  </si>
  <si>
    <t>PA89361828</t>
  </si>
  <si>
    <t>8-1011-675</t>
  </si>
  <si>
    <t>PA81011675</t>
  </si>
  <si>
    <t>8-973-1636</t>
  </si>
  <si>
    <t>PA89731636</t>
  </si>
  <si>
    <t>PA4803778</t>
  </si>
  <si>
    <t>PERIODO: 1RA Q JUNIO 2026</t>
  </si>
  <si>
    <t>ALICE SAMUDIO</t>
  </si>
  <si>
    <t>KEREN JUSTABINO</t>
  </si>
  <si>
    <t>YARIELA TAPIA</t>
  </si>
  <si>
    <t>LIZ CARRERA</t>
  </si>
  <si>
    <t>LIZBETH ALVARADO</t>
  </si>
  <si>
    <t>4-821-319</t>
  </si>
  <si>
    <t>4-781-1014</t>
  </si>
  <si>
    <t>1-755-923</t>
  </si>
  <si>
    <t>PA1755923</t>
  </si>
  <si>
    <t xml:space="preserve">PA48281596	</t>
  </si>
  <si>
    <t>PA47811014</t>
  </si>
  <si>
    <t>PROMOTORA</t>
  </si>
  <si>
    <t>PA48101554</t>
  </si>
  <si>
    <t>4-810-1554</t>
  </si>
  <si>
    <t>8-895-657</t>
  </si>
  <si>
    <t>PA8895657</t>
  </si>
  <si>
    <t>13/06/2026</t>
  </si>
  <si>
    <t>SUSANETH ATENCIO</t>
  </si>
  <si>
    <t>EILIN BETANCUR</t>
  </si>
  <si>
    <t>JAMY MITRE</t>
  </si>
  <si>
    <t>AIDA GONZALEZ</t>
  </si>
  <si>
    <t>NIURKA AGUIRRE</t>
  </si>
  <si>
    <t>AILIN ALLVAREZ</t>
  </si>
  <si>
    <t>MIRTA DOMINGUEZ</t>
  </si>
  <si>
    <t>YANISELYS NAVAS</t>
  </si>
  <si>
    <t>RACHELL TORRES</t>
  </si>
  <si>
    <t>SHERINA APOLAYO</t>
  </si>
  <si>
    <t>JUNIO</t>
  </si>
  <si>
    <t xml:space="preserve">1RA Q  </t>
  </si>
  <si>
    <t>8-812-2271</t>
  </si>
  <si>
    <t>PA88122271</t>
  </si>
  <si>
    <t>8-845-351</t>
  </si>
  <si>
    <t>PA8845351</t>
  </si>
  <si>
    <t>8-910-1507</t>
  </si>
  <si>
    <t>PA89101507</t>
  </si>
  <si>
    <t>8-966-1391</t>
  </si>
  <si>
    <t>PA89661391</t>
  </si>
  <si>
    <t>8-830-1432</t>
  </si>
  <si>
    <t>PA88301432</t>
  </si>
  <si>
    <t>9-758-1085</t>
  </si>
  <si>
    <t>PA97581085</t>
  </si>
  <si>
    <t>2-724-1821</t>
  </si>
  <si>
    <t>PA27241821</t>
  </si>
  <si>
    <t>8-994-632</t>
  </si>
  <si>
    <t>PA8994632</t>
  </si>
  <si>
    <t>8-912-2077</t>
  </si>
  <si>
    <t>PA89122077</t>
  </si>
  <si>
    <t>3-755-1116</t>
  </si>
  <si>
    <t>PA37551116</t>
  </si>
  <si>
    <t xml:space="preserve">BANCO GENERAL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</si>
</sst>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Q&quot;* #,##0.00_-;\-&quot;Q&quot;* #,##0.00_-;_-&quot;Q&quot;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i/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2"/>
      <color rgb="FFFF0000"/>
      <name val="Aptos Display"/>
      <family val="2"/>
      <scheme val="major"/>
    </font>
    <font>
      <b/>
      <sz val="12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indexed="8"/>
      <name val="Aptos Display"/>
      <family val="2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rgb="FFFF0000"/>
      </patternFill>
    </fill>
    <fill>
      <patternFill patternType="solid">
        <fgColor theme="0" tint="-0.14999847407452621"/>
        <bgColor rgb="FFFF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9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2" borderId="10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14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/>
    </xf>
    <xf numFmtId="0" fontId="9" fillId="11" borderId="17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1" fontId="5" fillId="6" borderId="24" xfId="0" applyNumberFormat="1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left" vertical="center"/>
    </xf>
    <xf numFmtId="14" fontId="5" fillId="6" borderId="24" xfId="0" applyNumberFormat="1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4" fontId="5" fillId="0" borderId="24" xfId="0" applyNumberFormat="1" applyFont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11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/>
    </xf>
    <xf numFmtId="10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" fontId="5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0" borderId="26" xfId="0" applyFont="1" applyBorder="1" applyAlignment="1">
      <alignment horizontal="center" vertical="center"/>
    </xf>
    <xf numFmtId="0" fontId="8" fillId="6" borderId="24" xfId="0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14" fontId="5" fillId="6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0" borderId="24" xfId="0" applyFont="1" applyBorder="1" applyAlignment="1">
      <alignment vertical="center"/>
    </xf>
    <xf numFmtId="0" fontId="9" fillId="10" borderId="24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14" fontId="5" fillId="0" borderId="22" xfId="0" applyNumberFormat="1" applyFont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13" borderId="0" xfId="0" applyFont="1" applyFill="1" applyAlignment="1">
      <alignment vertical="center"/>
    </xf>
    <xf numFmtId="0" fontId="5" fillId="13" borderId="24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6" borderId="24" xfId="0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6" fillId="13" borderId="24" xfId="0" applyFont="1" applyFill="1" applyBorder="1" applyAlignment="1">
      <alignment horizontal="center" vertical="center" wrapText="1"/>
    </xf>
    <xf numFmtId="2" fontId="0" fillId="0" borderId="0" xfId="0" applyNumberFormat="1"/>
    <xf numFmtId="2" fontId="5" fillId="6" borderId="24" xfId="0" applyNumberFormat="1" applyFont="1" applyFill="1" applyBorder="1" applyAlignment="1">
      <alignment horizontal="center" vertical="center"/>
    </xf>
    <xf numFmtId="0" fontId="11" fillId="11" borderId="26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/>
    </xf>
    <xf numFmtId="0" fontId="6" fillId="15" borderId="15" xfId="0" applyFont="1" applyFill="1" applyBorder="1" applyAlignment="1">
      <alignment horizontal="center" vertical="center"/>
    </xf>
    <xf numFmtId="0" fontId="11" fillId="16" borderId="26" xfId="0" applyFont="1" applyFill="1" applyBorder="1" applyAlignment="1">
      <alignment horizontal="center" vertical="center"/>
    </xf>
    <xf numFmtId="0" fontId="9" fillId="15" borderId="24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5" borderId="22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 wrapText="1"/>
    </xf>
    <xf numFmtId="0" fontId="6" fillId="15" borderId="24" xfId="0" applyFont="1" applyFill="1" applyBorder="1" applyAlignment="1">
      <alignment horizontal="center"/>
    </xf>
    <xf numFmtId="1" fontId="5" fillId="0" borderId="24" xfId="0" applyNumberFormat="1" applyFont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6" fillId="15" borderId="24" xfId="0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164" fontId="10" fillId="6" borderId="24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9" fillId="16" borderId="17" xfId="0" applyFont="1" applyFill="1" applyBorder="1" applyAlignment="1">
      <alignment horizontal="center" vertical="center"/>
    </xf>
    <xf numFmtId="0" fontId="9" fillId="16" borderId="27" xfId="0" applyFont="1" applyFill="1" applyBorder="1" applyAlignment="1">
      <alignment horizontal="center" vertical="center"/>
    </xf>
    <xf numFmtId="0" fontId="11" fillId="16" borderId="17" xfId="0" applyFont="1" applyFill="1" applyBorder="1" applyAlignment="1">
      <alignment horizontal="center" vertical="center"/>
    </xf>
    <xf numFmtId="0" fontId="11" fillId="16" borderId="27" xfId="0" applyFont="1" applyFill="1" applyBorder="1" applyAlignment="1">
      <alignment horizontal="center" vertical="center"/>
    </xf>
    <xf numFmtId="0" fontId="9" fillId="11" borderId="26" xfId="0" applyFont="1" applyFill="1" applyBorder="1" applyAlignment="1">
      <alignment horizontal="center" vertical="center"/>
    </xf>
    <xf numFmtId="0" fontId="11" fillId="11" borderId="24" xfId="0" applyFont="1" applyFill="1" applyBorder="1" applyAlignment="1">
      <alignment horizontal="center" vertical="center"/>
    </xf>
    <xf numFmtId="0" fontId="11" fillId="11" borderId="27" xfId="0" applyFont="1" applyFill="1" applyBorder="1" applyAlignment="1">
      <alignment horizontal="center" vertical="center"/>
    </xf>
    <xf numFmtId="0" fontId="9" fillId="11" borderId="28" xfId="0" applyFont="1" applyFill="1" applyBorder="1" applyAlignment="1">
      <alignment horizontal="center" vertical="center"/>
    </xf>
    <xf numFmtId="0" fontId="11" fillId="11" borderId="29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6" borderId="24" xfId="0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left" vertical="center"/>
    </xf>
    <xf numFmtId="10" fontId="5" fillId="0" borderId="24" xfId="0" applyNumberFormat="1" applyFont="1" applyBorder="1" applyAlignment="1">
      <alignment horizontal="center"/>
    </xf>
    <xf numFmtId="0" fontId="9" fillId="10" borderId="22" xfId="0" applyFont="1" applyFill="1" applyBorder="1" applyAlignment="1">
      <alignment horizontal="center" vertical="center"/>
    </xf>
    <xf numFmtId="0" fontId="9" fillId="12" borderId="22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5" fillId="0" borderId="24" xfId="0" applyFont="1" applyBorder="1" applyAlignment="1">
      <alignment horizontal="left"/>
    </xf>
    <xf numFmtId="0" fontId="5" fillId="0" borderId="24" xfId="0" applyFont="1" applyBorder="1" applyAlignment="1">
      <alignment horizontal="left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8" fillId="11" borderId="24" xfId="0" applyFont="1" applyFill="1" applyBorder="1" applyAlignment="1">
      <alignment horizontal="center" vertical="center" wrapText="1"/>
    </xf>
    <xf numFmtId="0" fontId="8" fillId="14" borderId="26" xfId="0" applyFont="1" applyFill="1" applyBorder="1" applyAlignment="1">
      <alignment horizontal="center" vertical="center" wrapText="1"/>
    </xf>
    <xf numFmtId="0" fontId="13" fillId="14" borderId="30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/>
    </xf>
    <xf numFmtId="0" fontId="13" fillId="0" borderId="30" xfId="0" applyFont="1" applyBorder="1" applyAlignment="1">
      <alignment horizontal="center" vertical="center" wrapText="1"/>
    </xf>
    <xf numFmtId="0" fontId="13" fillId="14" borderId="30" xfId="0" applyFont="1" applyFill="1" applyBorder="1" applyAlignment="1">
      <alignment horizontal="center" vertical="center"/>
    </xf>
    <xf numFmtId="14" fontId="5" fillId="6" borderId="22" xfId="0" applyNumberFormat="1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2" fontId="0" fillId="0" borderId="24" xfId="0" applyNumberFormat="1" applyBorder="1" applyAlignment="1">
      <alignment horizontal="center"/>
    </xf>
    <xf numFmtId="0" fontId="4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6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3">
    <cellStyle name="Moneda" xfId="1" builtinId="4"/>
    <cellStyle name="Normal" xfId="0" builtinId="0"/>
    <cellStyle name="Normal 2 2" xfId="2" xr:uid="{16D3C506-EC36-43C6-9851-E2E0FD476CAA}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4897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rgrupo-my.sharepoint.com/personal/efrainmarquez_gspcorp_com/Documents/Escritorio/REPORTERIAS/Proceso%20N&#243;mina%20proyect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egalvez/OneDrive%20-%20Grupo%20Sur/Desktop/2020/Calendario%20de%20Nomina%202020..xls" TargetMode="External"/><Relationship Id="rId1" Type="http://schemas.openxmlformats.org/officeDocument/2006/relationships/externalLinkPath" Target="/Users/egalvez/OneDrive%20-%20Grupo%20Sur/Desktop/2020/Calendario%20de%20Nomina%202020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"/>
      <sheetName val="INFORMACION PLANILLA"/>
      <sheetName val="Instrucciones"/>
      <sheetName val="Programación 2022"/>
      <sheetName val="Hoja2"/>
    </sheetNames>
    <sheetDataSet>
      <sheetData sheetId="0"/>
      <sheetData sheetId="1"/>
      <sheetData sheetId="2"/>
      <sheetData sheetId="3">
        <row r="1">
          <cell r="B1">
            <v>2022</v>
          </cell>
          <cell r="C1" t="str">
            <v>enero</v>
          </cell>
        </row>
        <row r="2">
          <cell r="B2" t="str">
            <v>LUNES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endario"/>
      <sheetName val="Calendario (2)"/>
    </sheetNames>
    <sheetDataSet>
      <sheetData sheetId="0"/>
      <sheetData sheetId="1">
        <row r="1">
          <cell r="C1" t="str">
            <v>agosto</v>
          </cell>
        </row>
        <row r="15">
          <cell r="C15" t="str">
            <v>septiembre</v>
          </cell>
        </row>
        <row r="29">
          <cell r="C29" t="str">
            <v>octubre</v>
          </cell>
        </row>
        <row r="43">
          <cell r="C43" t="str">
            <v>noviembre</v>
          </cell>
        </row>
        <row r="57">
          <cell r="C57" t="str">
            <v>diciembre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dira Yarelis Williams Valencia" id="{9AD32F7E-1B10-4224-8790-D6EC7FF64B6E}" userId="S::rrhhpanama@redvolutionlatam.com::b8590f79-f641-4546-851a-81750997f8f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41" dT="2026-06-15T18:15:16.88" personId="{9AD32F7E-1B10-4224-8790-D6EC7FF64B6E}" id="{B469A987-353F-4315-926F-84E462535691}">
    <text>SUBIO LA REQUISICION TRABAJO DOMINGO 31 DE MAYO</text>
  </threadedComment>
  <threadedComment ref="Y60" dT="2026-06-15T17:47:10.29" personId="{9AD32F7E-1B10-4224-8790-D6EC7FF64B6E}" id="{37ED1DF3-DFD0-4D65-B460-9025B492E5B4}">
    <text>LIMPIEZA PSMT</text>
  </threadedComment>
  <threadedComment ref="AH65" dT="2026-06-15T18:14:15.38" personId="{9AD32F7E-1B10-4224-8790-D6EC7FF64B6E}" id="{75136F81-6AEA-4F86-86AA-B2B47750DAB6}">
    <text xml:space="preserve">SUBIO LA REQUISICION TRABAJO DOMINGO 31 DE MAYO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D8F4-6D85-4C7B-86A5-5CDF3FCC2FCF}">
  <sheetPr>
    <pageSetUpPr fitToPage="1"/>
  </sheetPr>
  <dimension ref="A1:EX84"/>
  <sheetViews>
    <sheetView showGridLines="0" tabSelected="1" zoomScale="56" zoomScaleNormal="56" zoomScaleSheetLayoutView="100" workbookViewId="0">
      <pane xSplit="7" ySplit="8" topLeftCell="BB60" activePane="bottomRight" state="frozen"/>
      <selection pane="topRight" activeCell="H1" sqref="H1"/>
      <selection pane="bottomLeft" activeCell="A9" sqref="A9"/>
      <selection pane="bottomRight" activeCell="BB74" sqref="BB74"/>
    </sheetView>
  </sheetViews>
  <sheetFormatPr baseColWidth="10" defaultRowHeight="15.6" x14ac:dyDescent="0.3"/>
  <cols>
    <col min="1" max="1" width="10" style="5" bestFit="1" customWidth="1"/>
    <col min="2" max="2" width="14.109375" style="5" customWidth="1"/>
    <col min="3" max="3" width="14.77734375" style="5" customWidth="1"/>
    <col min="4" max="4" width="21.44140625" style="6" customWidth="1"/>
    <col min="5" max="5" width="14.44140625" style="6" customWidth="1"/>
    <col min="6" max="6" width="26.21875" style="6" customWidth="1"/>
    <col min="7" max="7" width="33.21875" style="5" customWidth="1"/>
    <col min="8" max="8" width="29.44140625" style="6" customWidth="1"/>
    <col min="9" max="9" width="30.88671875" style="6" customWidth="1"/>
    <col min="10" max="10" width="21.6640625" style="7" customWidth="1"/>
    <col min="11" max="11" width="15.33203125" style="8" customWidth="1"/>
    <col min="12" max="12" width="9.77734375" style="7" customWidth="1"/>
    <col min="13" max="13" width="18.5546875" style="6" customWidth="1"/>
    <col min="14" max="14" width="12" style="6" bestFit="1" customWidth="1"/>
    <col min="15" max="28" width="12" style="6" customWidth="1"/>
    <col min="29" max="29" width="22" style="6" customWidth="1"/>
    <col min="30" max="30" width="22.109375" style="2" hidden="1" customWidth="1"/>
    <col min="31" max="31" width="21.5546875" style="2" hidden="1" customWidth="1"/>
    <col min="32" max="32" width="15.44140625" style="2" hidden="1" customWidth="1"/>
    <col min="33" max="33" width="14.5546875" style="2" hidden="1" customWidth="1"/>
    <col min="34" max="34" width="22.77734375" style="6" customWidth="1"/>
    <col min="35" max="35" width="21" style="6" bestFit="1" customWidth="1"/>
    <col min="36" max="36" width="23.33203125" style="6" customWidth="1"/>
    <col min="37" max="37" width="29.6640625" style="6" customWidth="1"/>
    <col min="38" max="38" width="30.6640625" style="6" hidden="1" customWidth="1"/>
    <col min="39" max="39" width="30.44140625" style="6" hidden="1" customWidth="1"/>
    <col min="40" max="40" width="27.88671875" style="6" hidden="1" customWidth="1"/>
    <col min="41" max="41" width="24.6640625" style="6" hidden="1" customWidth="1"/>
    <col min="42" max="42" width="17.21875" style="6" hidden="1" customWidth="1"/>
    <col min="43" max="43" width="13.88671875" style="6" hidden="1" customWidth="1"/>
    <col min="44" max="44" width="25.44140625" style="66" hidden="1" customWidth="1"/>
    <col min="45" max="45" width="22.44140625" style="66" hidden="1" customWidth="1"/>
    <col min="46" max="46" width="28" style="66" customWidth="1"/>
    <col min="47" max="47" width="23.5546875" style="66" customWidth="1"/>
    <col min="48" max="48" width="22.33203125" style="66" customWidth="1"/>
    <col min="49" max="49" width="12.77734375" style="66" hidden="1" customWidth="1"/>
    <col min="50" max="50" width="24.88671875" style="66" hidden="1" customWidth="1"/>
    <col min="51" max="51" width="21.77734375" style="66" customWidth="1"/>
    <col min="52" max="52" width="23.5546875" style="66" hidden="1" customWidth="1"/>
    <col min="53" max="53" width="23.5546875" style="66" customWidth="1"/>
    <col min="54" max="54" width="19.44140625" style="66" customWidth="1"/>
    <col min="55" max="55" width="53.44140625" style="6" hidden="1" customWidth="1"/>
    <col min="56" max="56" width="15.6640625" style="5" customWidth="1"/>
    <col min="57" max="57" width="18.6640625" style="5" customWidth="1"/>
    <col min="58" max="58" width="21.33203125" style="5" customWidth="1"/>
    <col min="59" max="154" width="11.5546875" style="166"/>
    <col min="155" max="16384" width="11.5546875" style="5"/>
  </cols>
  <sheetData>
    <row r="1" spans="1:154" x14ac:dyDescent="0.3">
      <c r="BC1" s="67"/>
      <c r="BD1" s="6"/>
      <c r="BE1" s="6"/>
      <c r="BF1" s="6"/>
    </row>
    <row r="2" spans="1:154" x14ac:dyDescent="0.3">
      <c r="G2" s="9" t="s">
        <v>3</v>
      </c>
      <c r="H2" s="10" t="s">
        <v>4</v>
      </c>
      <c r="I2" s="7"/>
      <c r="BC2" s="67"/>
      <c r="BD2" s="6"/>
      <c r="BE2" s="6"/>
      <c r="BF2" s="6"/>
    </row>
    <row r="3" spans="1:154" x14ac:dyDescent="0.3">
      <c r="G3" s="9" t="s">
        <v>2</v>
      </c>
      <c r="H3" s="11" t="s">
        <v>303</v>
      </c>
      <c r="I3" s="7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BC3" s="67"/>
      <c r="BD3" s="6"/>
      <c r="BE3" s="6"/>
      <c r="BF3" s="6"/>
    </row>
    <row r="4" spans="1:154" ht="31.2" customHeight="1" thickBot="1" x14ac:dyDescent="0.35">
      <c r="G4" s="9" t="s">
        <v>275</v>
      </c>
      <c r="H4" s="13" t="s">
        <v>304</v>
      </c>
      <c r="I4" s="14" t="s">
        <v>64</v>
      </c>
      <c r="P4" s="15"/>
      <c r="Q4" s="16"/>
      <c r="R4" s="15"/>
      <c r="W4" s="15"/>
      <c r="X4" s="16"/>
      <c r="AT4" s="68"/>
    </row>
    <row r="5" spans="1:154" x14ac:dyDescent="0.3">
      <c r="N5" s="186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</row>
    <row r="6" spans="1:154" ht="17.399999999999999" customHeight="1" thickBot="1" x14ac:dyDescent="0.35">
      <c r="N6" s="188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</row>
    <row r="7" spans="1:154" ht="16.2" customHeight="1" thickBot="1" x14ac:dyDescent="0.35">
      <c r="N7" s="17"/>
      <c r="O7" s="17"/>
      <c r="P7" s="17"/>
      <c r="Q7" s="17"/>
      <c r="R7" s="17"/>
      <c r="S7" s="17"/>
      <c r="T7" s="17"/>
      <c r="U7" s="17"/>
      <c r="V7" s="17"/>
      <c r="W7" s="17"/>
      <c r="X7" s="18"/>
      <c r="Y7" s="17"/>
      <c r="Z7" s="17"/>
      <c r="AA7" s="17"/>
      <c r="AB7" s="17"/>
    </row>
    <row r="8" spans="1:154" s="78" customFormat="1" ht="73.2" customHeight="1" x14ac:dyDescent="0.3">
      <c r="A8" s="19" t="s">
        <v>0</v>
      </c>
      <c r="B8" s="20" t="s">
        <v>5</v>
      </c>
      <c r="C8" s="21" t="s">
        <v>235</v>
      </c>
      <c r="D8" s="21" t="s">
        <v>236</v>
      </c>
      <c r="E8" s="20" t="s">
        <v>237</v>
      </c>
      <c r="F8" s="21" t="s">
        <v>238</v>
      </c>
      <c r="G8" s="22" t="s">
        <v>47</v>
      </c>
      <c r="H8" s="21" t="s">
        <v>239</v>
      </c>
      <c r="I8" s="21" t="s">
        <v>240</v>
      </c>
      <c r="J8" s="21" t="s">
        <v>1</v>
      </c>
      <c r="K8" s="23" t="s">
        <v>241</v>
      </c>
      <c r="L8" s="24" t="s">
        <v>8</v>
      </c>
      <c r="M8" s="24" t="s">
        <v>6</v>
      </c>
      <c r="N8" s="25">
        <v>1</v>
      </c>
      <c r="O8" s="25">
        <v>2</v>
      </c>
      <c r="P8" s="25">
        <v>3</v>
      </c>
      <c r="Q8" s="25">
        <v>4</v>
      </c>
      <c r="R8" s="25">
        <v>5</v>
      </c>
      <c r="S8" s="25">
        <v>6</v>
      </c>
      <c r="T8" s="126">
        <v>7</v>
      </c>
      <c r="U8" s="25">
        <v>8</v>
      </c>
      <c r="V8" s="25">
        <v>9</v>
      </c>
      <c r="W8" s="25">
        <v>10</v>
      </c>
      <c r="X8" s="25">
        <v>11</v>
      </c>
      <c r="Y8" s="25">
        <v>12</v>
      </c>
      <c r="Z8" s="25">
        <v>13</v>
      </c>
      <c r="AA8" s="126">
        <v>14</v>
      </c>
      <c r="AB8" s="25">
        <v>15</v>
      </c>
      <c r="AC8" s="26" t="s">
        <v>9</v>
      </c>
      <c r="AD8" s="4" t="s">
        <v>10</v>
      </c>
      <c r="AE8" s="4" t="s">
        <v>28</v>
      </c>
      <c r="AF8" s="4" t="s">
        <v>29</v>
      </c>
      <c r="AG8" s="4" t="s">
        <v>12</v>
      </c>
      <c r="AH8" s="69" t="s">
        <v>13</v>
      </c>
      <c r="AI8" s="69" t="s">
        <v>14</v>
      </c>
      <c r="AJ8" s="69" t="s">
        <v>7</v>
      </c>
      <c r="AK8" s="69" t="s">
        <v>11</v>
      </c>
      <c r="AL8" s="70" t="s">
        <v>15</v>
      </c>
      <c r="AM8" s="71" t="s">
        <v>16</v>
      </c>
      <c r="AN8" s="71" t="s">
        <v>17</v>
      </c>
      <c r="AO8" s="71" t="s">
        <v>18</v>
      </c>
      <c r="AP8" s="71" t="s">
        <v>75</v>
      </c>
      <c r="AQ8" s="71" t="s">
        <v>19</v>
      </c>
      <c r="AR8" s="72" t="s">
        <v>78</v>
      </c>
      <c r="AS8" s="73" t="s">
        <v>79</v>
      </c>
      <c r="AT8" s="74" t="s">
        <v>20</v>
      </c>
      <c r="AU8" s="71" t="s">
        <v>21</v>
      </c>
      <c r="AV8" s="71" t="s">
        <v>22</v>
      </c>
      <c r="AW8" s="71" t="s">
        <v>23</v>
      </c>
      <c r="AX8" s="71" t="s">
        <v>24</v>
      </c>
      <c r="AY8" s="71" t="s">
        <v>25</v>
      </c>
      <c r="AZ8" s="71" t="s">
        <v>66</v>
      </c>
      <c r="BA8" s="71" t="s">
        <v>26</v>
      </c>
      <c r="BB8" s="75" t="s">
        <v>74</v>
      </c>
      <c r="BC8" s="76" t="s">
        <v>65</v>
      </c>
      <c r="BD8" s="71" t="s">
        <v>30</v>
      </c>
      <c r="BE8" s="71" t="s">
        <v>31</v>
      </c>
      <c r="BF8" s="77" t="s">
        <v>32</v>
      </c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  <c r="DA8" s="82"/>
      <c r="DB8" s="82"/>
      <c r="DC8" s="82"/>
      <c r="DD8" s="82"/>
      <c r="DE8" s="82"/>
      <c r="DF8" s="82"/>
      <c r="DG8" s="82"/>
      <c r="DH8" s="82"/>
      <c r="DI8" s="82"/>
      <c r="DJ8" s="82"/>
      <c r="DK8" s="82"/>
      <c r="DL8" s="82"/>
      <c r="DM8" s="82"/>
      <c r="DN8" s="82"/>
      <c r="DO8" s="82"/>
      <c r="DP8" s="82"/>
      <c r="DQ8" s="82"/>
      <c r="DR8" s="82"/>
      <c r="DS8" s="82"/>
      <c r="DT8" s="82"/>
      <c r="DU8" s="82"/>
      <c r="DV8" s="82"/>
      <c r="DW8" s="82"/>
      <c r="DX8" s="82"/>
      <c r="DY8" s="82"/>
      <c r="DZ8" s="82"/>
      <c r="EA8" s="82"/>
      <c r="EB8" s="82"/>
      <c r="EC8" s="82"/>
      <c r="ED8" s="82"/>
      <c r="EE8" s="82"/>
      <c r="EF8" s="82"/>
      <c r="EG8" s="82"/>
      <c r="EH8" s="82"/>
      <c r="EI8" s="82"/>
      <c r="EJ8" s="82"/>
      <c r="EK8" s="82"/>
      <c r="EL8" s="82"/>
      <c r="EM8" s="82"/>
      <c r="EN8" s="82"/>
      <c r="EO8" s="82"/>
      <c r="EP8" s="82"/>
      <c r="EQ8" s="82"/>
      <c r="ER8" s="82"/>
      <c r="ES8" s="82"/>
      <c r="ET8" s="82"/>
      <c r="EU8" s="82"/>
      <c r="EV8" s="82"/>
      <c r="EW8" s="82"/>
      <c r="EX8" s="82"/>
    </row>
    <row r="9" spans="1:154" s="82" customFormat="1" x14ac:dyDescent="0.3">
      <c r="A9" s="27">
        <v>1</v>
      </c>
      <c r="B9" s="36" t="s">
        <v>44</v>
      </c>
      <c r="C9" s="29" t="s">
        <v>45</v>
      </c>
      <c r="D9" s="43">
        <v>118825058</v>
      </c>
      <c r="E9" s="31" t="s">
        <v>186</v>
      </c>
      <c r="F9" s="31" t="s">
        <v>189</v>
      </c>
      <c r="G9" s="32" t="s">
        <v>178</v>
      </c>
      <c r="H9" s="10" t="s">
        <v>145</v>
      </c>
      <c r="I9" s="31" t="s">
        <v>46</v>
      </c>
      <c r="J9" s="30" t="s">
        <v>47</v>
      </c>
      <c r="K9" s="33">
        <v>46330</v>
      </c>
      <c r="L9" s="34">
        <v>657.28</v>
      </c>
      <c r="M9" s="34">
        <v>25.28</v>
      </c>
      <c r="N9" s="47"/>
      <c r="O9" s="47">
        <v>1</v>
      </c>
      <c r="P9" s="46"/>
      <c r="Q9" s="47">
        <v>1</v>
      </c>
      <c r="R9" s="147">
        <v>1</v>
      </c>
      <c r="S9" s="147">
        <v>1</v>
      </c>
      <c r="T9" s="144" t="s">
        <v>38</v>
      </c>
      <c r="U9" s="47"/>
      <c r="V9" s="47">
        <v>1</v>
      </c>
      <c r="W9" s="147">
        <v>1</v>
      </c>
      <c r="X9" s="47">
        <v>1</v>
      </c>
      <c r="Y9" s="47">
        <v>1</v>
      </c>
      <c r="Z9" s="47">
        <v>1</v>
      </c>
      <c r="AA9" s="141" t="s">
        <v>38</v>
      </c>
      <c r="AB9" s="47">
        <v>1</v>
      </c>
      <c r="AC9" s="31">
        <f>+COUNTIF(N9:AB9,"1")</f>
        <v>10</v>
      </c>
      <c r="AD9" s="34">
        <f>AC9*M9</f>
        <v>252.8</v>
      </c>
      <c r="AE9" s="31">
        <f>COUNTIF(N12:AB12,"V")</f>
        <v>0</v>
      </c>
      <c r="AF9" s="31">
        <f t="shared" ref="AF9:AF20" si="0">AE9*M9</f>
        <v>0</v>
      </c>
      <c r="AG9" s="31">
        <v>33.18</v>
      </c>
      <c r="AH9" s="31">
        <f>+COUNTIF(N9:AB9,"D")</f>
        <v>2</v>
      </c>
      <c r="AI9" s="31">
        <f>AH9*AG9</f>
        <v>66.36</v>
      </c>
      <c r="AJ9" s="79">
        <f t="shared" ref="AJ9:AJ14" si="1">+COUNTIF(N9:AB9,"I")</f>
        <v>0</v>
      </c>
      <c r="AK9" s="34">
        <f>AJ9*M9</f>
        <v>0</v>
      </c>
      <c r="AL9" s="80"/>
      <c r="AM9" s="34">
        <f>3.16*8*2.5*AL9</f>
        <v>0</v>
      </c>
      <c r="AN9" s="79">
        <v>0</v>
      </c>
      <c r="AO9" s="34">
        <f>M9*1.5*AN9</f>
        <v>0</v>
      </c>
      <c r="AP9" s="34"/>
      <c r="AQ9" s="34"/>
      <c r="AR9" s="31"/>
      <c r="AS9" s="31"/>
      <c r="AT9" s="34">
        <f>AD9+AI9+AK9+AM9+AO9+AR9</f>
        <v>319.16000000000003</v>
      </c>
      <c r="AU9" s="34">
        <f>AT9*9.75%</f>
        <v>31.118100000000002</v>
      </c>
      <c r="AV9" s="34">
        <f>AT9*1.25%</f>
        <v>3.9895000000000005</v>
      </c>
      <c r="AW9" s="34"/>
      <c r="AX9" s="34"/>
      <c r="AY9" s="34">
        <v>2.5</v>
      </c>
      <c r="AZ9" s="34"/>
      <c r="BA9" s="34">
        <f>AU9+AV9+AW9+AZ9+AY9</f>
        <v>37.607600000000005</v>
      </c>
      <c r="BB9" s="34">
        <f>AT9+AX9-BA9</f>
        <v>281.55240000000003</v>
      </c>
      <c r="BC9" s="81"/>
      <c r="BD9" s="34">
        <f>BB9*12.25%</f>
        <v>34.490169000000002</v>
      </c>
      <c r="BE9" s="34">
        <f>BB9*1.5%</f>
        <v>4.2232860000000008</v>
      </c>
      <c r="BF9" s="165">
        <f>BB9*0.021</f>
        <v>5.9126004000000014</v>
      </c>
    </row>
    <row r="10" spans="1:154" s="82" customFormat="1" x14ac:dyDescent="0.3">
      <c r="A10" s="27">
        <v>2</v>
      </c>
      <c r="B10" s="28" t="s">
        <v>44</v>
      </c>
      <c r="C10" s="29" t="s">
        <v>45</v>
      </c>
      <c r="D10" s="30">
        <v>118956929</v>
      </c>
      <c r="E10" s="6" t="s">
        <v>283</v>
      </c>
      <c r="F10" s="31" t="s">
        <v>284</v>
      </c>
      <c r="G10" s="32" t="s">
        <v>276</v>
      </c>
      <c r="H10" s="31" t="s">
        <v>145</v>
      </c>
      <c r="I10" s="31" t="s">
        <v>46</v>
      </c>
      <c r="J10" s="30" t="s">
        <v>47</v>
      </c>
      <c r="K10" s="33" t="s">
        <v>153</v>
      </c>
      <c r="L10" s="34">
        <v>657.28</v>
      </c>
      <c r="M10" s="34">
        <f t="shared" ref="M10:M20" si="2">L10/26</f>
        <v>25.279999999999998</v>
      </c>
      <c r="N10" s="47"/>
      <c r="O10" s="46">
        <v>1</v>
      </c>
      <c r="P10" s="123">
        <v>1</v>
      </c>
      <c r="Q10" s="123"/>
      <c r="R10" s="123">
        <v>1</v>
      </c>
      <c r="S10" s="123">
        <v>1</v>
      </c>
      <c r="T10" s="127" t="s">
        <v>38</v>
      </c>
      <c r="U10" s="123">
        <v>1</v>
      </c>
      <c r="V10" s="123"/>
      <c r="W10" s="123"/>
      <c r="X10" s="123"/>
      <c r="Y10" s="123">
        <v>1</v>
      </c>
      <c r="Z10" s="123"/>
      <c r="AA10" s="127" t="s">
        <v>38</v>
      </c>
      <c r="AB10" s="123">
        <v>1</v>
      </c>
      <c r="AC10" s="31">
        <f>+COUNTIF(N10:AB10,"1")</f>
        <v>7</v>
      </c>
      <c r="AD10" s="34">
        <f>AC10*M10</f>
        <v>176.95999999999998</v>
      </c>
      <c r="AE10" s="31">
        <f t="shared" ref="AE10:AE72" si="3">COUNTIF(N13:AB13,"V")</f>
        <v>0</v>
      </c>
      <c r="AF10" s="31">
        <f t="shared" si="0"/>
        <v>0</v>
      </c>
      <c r="AG10" s="31">
        <v>33.18</v>
      </c>
      <c r="AH10" s="31">
        <f>+COUNTIF(N10:AB10,"D")</f>
        <v>2</v>
      </c>
      <c r="AI10" s="31">
        <f t="shared" ref="AI10:AI77" si="4">AH10*AG10</f>
        <v>66.36</v>
      </c>
      <c r="AJ10" s="79">
        <f t="shared" si="1"/>
        <v>0</v>
      </c>
      <c r="AK10" s="34">
        <f>AJ10*M10</f>
        <v>0</v>
      </c>
      <c r="AL10" s="80"/>
      <c r="AM10" s="34">
        <f t="shared" ref="AM10:AM73" si="5">3.16*8*2.5*AL10</f>
        <v>0</v>
      </c>
      <c r="AN10" s="79">
        <v>0</v>
      </c>
      <c r="AO10" s="34">
        <f>M10*1.5*AN10</f>
        <v>0</v>
      </c>
      <c r="AP10" s="34"/>
      <c r="AQ10" s="34"/>
      <c r="AR10" s="31"/>
      <c r="AS10" s="31"/>
      <c r="AT10" s="34">
        <f t="shared" ref="AT10:AT72" si="6">AD10+AI10+AK10+AM10+AO10+AR10</f>
        <v>243.32</v>
      </c>
      <c r="AU10" s="34">
        <f t="shared" ref="AU10:AU72" si="7">AT10*9.75%</f>
        <v>23.723700000000001</v>
      </c>
      <c r="AV10" s="34">
        <f t="shared" ref="AV10:AV72" si="8">AT10*1.25%</f>
        <v>3.0415000000000001</v>
      </c>
      <c r="AW10" s="34"/>
      <c r="AX10" s="34"/>
      <c r="AY10" s="34">
        <v>2.5</v>
      </c>
      <c r="AZ10" s="34"/>
      <c r="BA10" s="34">
        <f t="shared" ref="BA10:BA72" si="9">AU10+AV10+AW10+AZ10+AY10</f>
        <v>29.2652</v>
      </c>
      <c r="BB10" s="34">
        <f t="shared" ref="BB10:BB72" si="10">AT10+AX10-BA10</f>
        <v>214.0548</v>
      </c>
      <c r="BC10" s="81"/>
      <c r="BD10" s="34">
        <f t="shared" ref="BD10:BD72" si="11">BB10*12.25%</f>
        <v>26.221713000000001</v>
      </c>
      <c r="BE10" s="34">
        <f t="shared" ref="BE10:BE72" si="12">BB10*1.5%</f>
        <v>3.2108219999999998</v>
      </c>
      <c r="BF10" s="165">
        <f t="shared" ref="BF10:BF72" si="13">BB10*0.021</f>
        <v>4.4951508000000002</v>
      </c>
    </row>
    <row r="11" spans="1:154" s="82" customFormat="1" x14ac:dyDescent="0.3">
      <c r="A11" s="27">
        <v>3</v>
      </c>
      <c r="B11" s="36" t="s">
        <v>44</v>
      </c>
      <c r="C11" s="29" t="s">
        <v>45</v>
      </c>
      <c r="D11" s="30">
        <v>118150598</v>
      </c>
      <c r="E11" s="31" t="s">
        <v>155</v>
      </c>
      <c r="F11" s="31" t="s">
        <v>156</v>
      </c>
      <c r="G11" s="32" t="s">
        <v>144</v>
      </c>
      <c r="H11" s="10" t="s">
        <v>145</v>
      </c>
      <c r="I11" s="31" t="s">
        <v>46</v>
      </c>
      <c r="J11" s="30" t="s">
        <v>47</v>
      </c>
      <c r="K11" s="33" t="s">
        <v>159</v>
      </c>
      <c r="L11" s="34">
        <v>657.28</v>
      </c>
      <c r="M11" s="34">
        <v>25.28</v>
      </c>
      <c r="N11" s="47"/>
      <c r="O11" s="47">
        <v>1</v>
      </c>
      <c r="P11" s="46"/>
      <c r="Q11" s="47">
        <v>1</v>
      </c>
      <c r="R11" s="150" t="s">
        <v>229</v>
      </c>
      <c r="S11" s="151" t="s">
        <v>229</v>
      </c>
      <c r="T11" s="151" t="s">
        <v>229</v>
      </c>
      <c r="U11" s="151" t="s">
        <v>229</v>
      </c>
      <c r="V11" s="151" t="s">
        <v>229</v>
      </c>
      <c r="W11" s="151" t="s">
        <v>229</v>
      </c>
      <c r="X11" s="151" t="s">
        <v>229</v>
      </c>
      <c r="Y11" s="150" t="s">
        <v>229</v>
      </c>
      <c r="Z11" s="151" t="s">
        <v>229</v>
      </c>
      <c r="AA11" s="152" t="s">
        <v>229</v>
      </c>
      <c r="AB11" s="151" t="s">
        <v>229</v>
      </c>
      <c r="AC11" s="31">
        <f>+COUNTIF(N11:AB11,"1")</f>
        <v>2</v>
      </c>
      <c r="AD11" s="34">
        <f>AC11*M11</f>
        <v>50.56</v>
      </c>
      <c r="AE11" s="31">
        <f t="shared" si="3"/>
        <v>0</v>
      </c>
      <c r="AF11" s="31">
        <f t="shared" si="0"/>
        <v>0</v>
      </c>
      <c r="AG11" s="31">
        <v>33.18</v>
      </c>
      <c r="AH11" s="31">
        <f>+COUNTIF(N11:AB11,"D")</f>
        <v>0</v>
      </c>
      <c r="AI11" s="31">
        <f t="shared" si="4"/>
        <v>0</v>
      </c>
      <c r="AJ11" s="79">
        <f t="shared" si="1"/>
        <v>0</v>
      </c>
      <c r="AK11" s="34">
        <f>AJ11*M11</f>
        <v>0</v>
      </c>
      <c r="AL11" s="80"/>
      <c r="AM11" s="34">
        <f t="shared" ref="AM11:AM16" si="14">3.16*8*2.5*AL11</f>
        <v>0</v>
      </c>
      <c r="AN11" s="79">
        <v>0</v>
      </c>
      <c r="AO11" s="34">
        <f>M11*1.5*AN11</f>
        <v>0</v>
      </c>
      <c r="AP11" s="34"/>
      <c r="AQ11" s="34"/>
      <c r="AR11" s="31"/>
      <c r="AS11" s="31"/>
      <c r="AT11" s="34">
        <f>AD11+AI11+AK11+AM11+AO11+AR11</f>
        <v>50.56</v>
      </c>
      <c r="AU11" s="34">
        <f>AT11*9.75%</f>
        <v>4.9296000000000006</v>
      </c>
      <c r="AV11" s="34">
        <f>AT11*1.25%</f>
        <v>0.63200000000000012</v>
      </c>
      <c r="AW11" s="34"/>
      <c r="AX11" s="34"/>
      <c r="AY11" s="34">
        <v>2.5</v>
      </c>
      <c r="AZ11" s="34"/>
      <c r="BA11" s="34">
        <f>AU11+AV11+AW11+AZ11+AY11</f>
        <v>8.0616000000000003</v>
      </c>
      <c r="BB11" s="34">
        <f>AT11+AX11-BA11</f>
        <v>42.498400000000004</v>
      </c>
      <c r="BC11" s="81"/>
      <c r="BD11" s="34">
        <f>BB11*12.25%</f>
        <v>5.206054</v>
      </c>
      <c r="BE11" s="34">
        <f>BB11*1.5%</f>
        <v>0.63747600000000004</v>
      </c>
      <c r="BF11" s="165">
        <f>BB11*0.021</f>
        <v>0.8924664000000001</v>
      </c>
    </row>
    <row r="12" spans="1:154" s="82" customFormat="1" x14ac:dyDescent="0.3">
      <c r="A12" s="27">
        <v>4</v>
      </c>
      <c r="B12" s="36" t="s">
        <v>44</v>
      </c>
      <c r="C12" s="29" t="s">
        <v>45</v>
      </c>
      <c r="D12" s="30">
        <v>118778604</v>
      </c>
      <c r="E12" s="31" t="s">
        <v>187</v>
      </c>
      <c r="F12" s="31" t="s">
        <v>190</v>
      </c>
      <c r="G12" s="32" t="s">
        <v>179</v>
      </c>
      <c r="H12" s="10" t="s">
        <v>145</v>
      </c>
      <c r="I12" s="31" t="s">
        <v>46</v>
      </c>
      <c r="J12" s="30" t="s">
        <v>47</v>
      </c>
      <c r="K12" s="33">
        <v>46330</v>
      </c>
      <c r="L12" s="34">
        <v>657.28</v>
      </c>
      <c r="M12" s="34">
        <v>25.28</v>
      </c>
      <c r="N12" s="47"/>
      <c r="O12" s="47">
        <v>1</v>
      </c>
      <c r="P12" s="46"/>
      <c r="Q12" s="47">
        <v>1</v>
      </c>
      <c r="R12" s="147">
        <v>1</v>
      </c>
      <c r="S12" s="147"/>
      <c r="T12" s="144" t="s">
        <v>38</v>
      </c>
      <c r="U12" s="47">
        <v>1</v>
      </c>
      <c r="V12" s="47">
        <v>1</v>
      </c>
      <c r="W12" s="147">
        <v>1</v>
      </c>
      <c r="X12" s="47">
        <v>1</v>
      </c>
      <c r="Y12" s="47">
        <v>1</v>
      </c>
      <c r="Z12" s="47">
        <v>1</v>
      </c>
      <c r="AA12" s="141" t="s">
        <v>38</v>
      </c>
      <c r="AB12" s="47">
        <v>1</v>
      </c>
      <c r="AC12" s="31">
        <f>+COUNTIF(N12:AB12,"1")</f>
        <v>10</v>
      </c>
      <c r="AD12" s="34">
        <f>AC12*M12</f>
        <v>252.8</v>
      </c>
      <c r="AE12" s="31">
        <f t="shared" si="3"/>
        <v>0</v>
      </c>
      <c r="AF12" s="31">
        <f t="shared" si="0"/>
        <v>0</v>
      </c>
      <c r="AG12" s="31">
        <v>33.18</v>
      </c>
      <c r="AH12" s="31">
        <f t="shared" ref="AH12:AH74" si="15">+COUNTIF(N12:AB12,"D")</f>
        <v>2</v>
      </c>
      <c r="AI12" s="31">
        <f t="shared" si="4"/>
        <v>66.36</v>
      </c>
      <c r="AJ12" s="79">
        <f t="shared" si="1"/>
        <v>0</v>
      </c>
      <c r="AK12" s="34">
        <f>AJ12*M12</f>
        <v>0</v>
      </c>
      <c r="AL12" s="80"/>
      <c r="AM12" s="34">
        <f t="shared" si="14"/>
        <v>0</v>
      </c>
      <c r="AN12" s="79">
        <v>0</v>
      </c>
      <c r="AO12" s="34">
        <f>M12*1.5*AN12</f>
        <v>0</v>
      </c>
      <c r="AP12" s="34"/>
      <c r="AQ12" s="34"/>
      <c r="AR12" s="31"/>
      <c r="AS12" s="31"/>
      <c r="AT12" s="34">
        <f>AD12+AI12+AK12+AM12+AO12+AR12</f>
        <v>319.16000000000003</v>
      </c>
      <c r="AU12" s="34">
        <f>AT12*9.75%</f>
        <v>31.118100000000002</v>
      </c>
      <c r="AV12" s="34">
        <f>AT12*1.25%</f>
        <v>3.9895000000000005</v>
      </c>
      <c r="AW12" s="34"/>
      <c r="AX12" s="34"/>
      <c r="AY12" s="34">
        <v>2.5</v>
      </c>
      <c r="AZ12" s="34"/>
      <c r="BA12" s="34">
        <f>AU12+AV12+AW12+AZ12+AY12</f>
        <v>37.607600000000005</v>
      </c>
      <c r="BB12" s="34">
        <f>AT12+AX12-BA12</f>
        <v>281.55240000000003</v>
      </c>
      <c r="BC12" s="81"/>
      <c r="BD12" s="34">
        <f>BB12*12.25%</f>
        <v>34.490169000000002</v>
      </c>
      <c r="BE12" s="34">
        <f>BB12*1.5%</f>
        <v>4.2232860000000008</v>
      </c>
      <c r="BF12" s="165">
        <f>BB12*0.021</f>
        <v>5.9126004000000014</v>
      </c>
    </row>
    <row r="13" spans="1:154" s="83" customFormat="1" x14ac:dyDescent="0.3">
      <c r="A13" s="27">
        <v>5</v>
      </c>
      <c r="B13" s="36" t="s">
        <v>44</v>
      </c>
      <c r="C13" s="48" t="s">
        <v>45</v>
      </c>
      <c r="D13" s="52">
        <v>118978758</v>
      </c>
      <c r="E13" s="44" t="s">
        <v>244</v>
      </c>
      <c r="F13" s="44" t="s">
        <v>245</v>
      </c>
      <c r="G13" s="50" t="s">
        <v>224</v>
      </c>
      <c r="H13" s="10" t="s">
        <v>145</v>
      </c>
      <c r="I13" s="31" t="s">
        <v>46</v>
      </c>
      <c r="J13" s="30" t="s">
        <v>47</v>
      </c>
      <c r="K13" s="51" t="s">
        <v>266</v>
      </c>
      <c r="L13" s="34">
        <v>657.28</v>
      </c>
      <c r="M13" s="34">
        <v>25.28</v>
      </c>
      <c r="N13" s="46"/>
      <c r="O13" s="46"/>
      <c r="P13" s="47"/>
      <c r="Q13" s="46"/>
      <c r="R13" s="46"/>
      <c r="S13" s="46">
        <v>1</v>
      </c>
      <c r="T13" s="141" t="s">
        <v>38</v>
      </c>
      <c r="U13" s="46">
        <v>1</v>
      </c>
      <c r="V13" s="47"/>
      <c r="W13" s="47"/>
      <c r="X13" s="47"/>
      <c r="Y13" s="47">
        <v>1</v>
      </c>
      <c r="Z13" s="47">
        <v>1</v>
      </c>
      <c r="AA13" s="141" t="s">
        <v>38</v>
      </c>
      <c r="AB13" s="47">
        <v>1</v>
      </c>
      <c r="AC13" s="31">
        <f>+COUNTIF(N13:AB13,"1")</f>
        <v>5</v>
      </c>
      <c r="AD13" s="34">
        <f t="shared" ref="AD13:AD75" si="16">AC13*M13</f>
        <v>126.4</v>
      </c>
      <c r="AE13" s="31">
        <f t="shared" si="3"/>
        <v>0</v>
      </c>
      <c r="AF13" s="31">
        <f t="shared" si="0"/>
        <v>0</v>
      </c>
      <c r="AG13" s="31">
        <v>33.18</v>
      </c>
      <c r="AH13" s="31">
        <f t="shared" si="15"/>
        <v>2</v>
      </c>
      <c r="AI13" s="31">
        <f t="shared" si="4"/>
        <v>66.36</v>
      </c>
      <c r="AJ13" s="79">
        <f t="shared" si="1"/>
        <v>0</v>
      </c>
      <c r="AK13" s="34">
        <f>AJ13*M13</f>
        <v>0</v>
      </c>
      <c r="AL13" s="80"/>
      <c r="AM13" s="34">
        <f t="shared" si="14"/>
        <v>0</v>
      </c>
      <c r="AN13" s="79">
        <v>0</v>
      </c>
      <c r="AO13" s="34">
        <f>M13*1.5*AN13</f>
        <v>0</v>
      </c>
      <c r="AP13" s="34"/>
      <c r="AQ13" s="34"/>
      <c r="AR13" s="31"/>
      <c r="AS13" s="31"/>
      <c r="AT13" s="34">
        <f>AD13+AI13+AK13+AM13+AO13+AR13</f>
        <v>192.76</v>
      </c>
      <c r="AU13" s="34">
        <f>AT13*9.75%</f>
        <v>18.7941</v>
      </c>
      <c r="AV13" s="34">
        <f>AT13*1.25%</f>
        <v>2.4095</v>
      </c>
      <c r="AW13" s="34"/>
      <c r="AX13" s="34"/>
      <c r="AY13" s="34">
        <v>2.5</v>
      </c>
      <c r="AZ13" s="34"/>
      <c r="BA13" s="34">
        <f>AU13+AV13+AW13+AZ13+AY13</f>
        <v>23.703600000000002</v>
      </c>
      <c r="BB13" s="34">
        <f>AT13+AX13-BA13</f>
        <v>169.0564</v>
      </c>
      <c r="BC13" s="81"/>
      <c r="BD13" s="34">
        <f>BB13*12.25%</f>
        <v>20.709409000000001</v>
      </c>
      <c r="BE13" s="34">
        <f>BB13*1.5%</f>
        <v>2.5358459999999998</v>
      </c>
      <c r="BF13" s="165">
        <f>BB13*0.021</f>
        <v>3.5501844</v>
      </c>
    </row>
    <row r="14" spans="1:154" s="83" customFormat="1" x14ac:dyDescent="0.3">
      <c r="A14" s="27">
        <v>6</v>
      </c>
      <c r="B14" s="36" t="s">
        <v>44</v>
      </c>
      <c r="C14" s="48" t="s">
        <v>45</v>
      </c>
      <c r="D14" s="49">
        <v>118940592</v>
      </c>
      <c r="E14" s="44" t="s">
        <v>252</v>
      </c>
      <c r="F14" s="44" t="s">
        <v>253</v>
      </c>
      <c r="G14" s="50" t="s">
        <v>228</v>
      </c>
      <c r="H14" s="10" t="s">
        <v>145</v>
      </c>
      <c r="I14" s="31" t="s">
        <v>46</v>
      </c>
      <c r="J14" s="30" t="s">
        <v>47</v>
      </c>
      <c r="K14" s="51" t="s">
        <v>264</v>
      </c>
      <c r="L14" s="34">
        <v>657.28</v>
      </c>
      <c r="M14" s="34">
        <v>25.28</v>
      </c>
      <c r="N14" s="46">
        <v>1</v>
      </c>
      <c r="O14" s="46"/>
      <c r="P14" s="46"/>
      <c r="Q14" s="46"/>
      <c r="R14" s="46">
        <v>1</v>
      </c>
      <c r="S14" s="46">
        <v>1</v>
      </c>
      <c r="T14" s="143"/>
      <c r="U14" s="46">
        <v>1</v>
      </c>
      <c r="V14" s="46"/>
      <c r="W14" s="46">
        <v>1</v>
      </c>
      <c r="X14" s="46">
        <v>1</v>
      </c>
      <c r="Y14" s="46">
        <v>1</v>
      </c>
      <c r="Z14" s="46">
        <v>1</v>
      </c>
      <c r="AA14" s="141" t="s">
        <v>38</v>
      </c>
      <c r="AB14" s="47">
        <v>1</v>
      </c>
      <c r="AC14" s="31">
        <f t="shared" ref="AC14:AC76" si="17">+COUNTIF(N14:AB14,"1")</f>
        <v>9</v>
      </c>
      <c r="AD14" s="34">
        <f t="shared" si="16"/>
        <v>227.52</v>
      </c>
      <c r="AE14" s="31">
        <f t="shared" si="3"/>
        <v>0</v>
      </c>
      <c r="AF14" s="31">
        <f t="shared" si="0"/>
        <v>0</v>
      </c>
      <c r="AG14" s="31">
        <v>33.18</v>
      </c>
      <c r="AH14" s="31">
        <f t="shared" si="15"/>
        <v>1</v>
      </c>
      <c r="AI14" s="31">
        <f t="shared" si="4"/>
        <v>33.18</v>
      </c>
      <c r="AJ14" s="79">
        <f t="shared" si="1"/>
        <v>0</v>
      </c>
      <c r="AK14" s="34">
        <f t="shared" ref="AK14:AK77" si="18">AJ14*M14</f>
        <v>0</v>
      </c>
      <c r="AL14" s="80"/>
      <c r="AM14" s="34">
        <f t="shared" si="14"/>
        <v>0</v>
      </c>
      <c r="AN14" s="79">
        <v>0</v>
      </c>
      <c r="AO14" s="34">
        <f t="shared" ref="AO14:AO77" si="19">M14*1.5*AN14</f>
        <v>0</v>
      </c>
      <c r="AP14" s="34"/>
      <c r="AQ14" s="34"/>
      <c r="AR14" s="31"/>
      <c r="AS14" s="31"/>
      <c r="AT14" s="34">
        <f t="shared" ref="AT14" si="20">AD14+AI14+AK14+AM14+AO14+AR14</f>
        <v>260.7</v>
      </c>
      <c r="AU14" s="34">
        <f t="shared" ref="AU14" si="21">AT14*9.75%</f>
        <v>25.41825</v>
      </c>
      <c r="AV14" s="34">
        <f t="shared" ref="AV14" si="22">AT14*1.25%</f>
        <v>3.25875</v>
      </c>
      <c r="AW14" s="34"/>
      <c r="AX14" s="34"/>
      <c r="AY14" s="34">
        <v>2.5</v>
      </c>
      <c r="AZ14" s="34"/>
      <c r="BA14" s="34">
        <f t="shared" ref="BA14" si="23">AU14+AV14+AW14+AZ14+AY14</f>
        <v>31.177</v>
      </c>
      <c r="BB14" s="34">
        <f>AT14+AX14-BA14</f>
        <v>229.523</v>
      </c>
      <c r="BC14" s="81"/>
      <c r="BD14" s="34">
        <f>BB14*12.25%</f>
        <v>28.116567499999999</v>
      </c>
      <c r="BE14" s="34">
        <f t="shared" ref="BE14" si="24">BB14*1.5%</f>
        <v>3.4428449999999997</v>
      </c>
      <c r="BF14" s="165">
        <f t="shared" ref="BF14" si="25">BB14*0.021</f>
        <v>4.8199830000000006</v>
      </c>
    </row>
    <row r="15" spans="1:154" s="82" customFormat="1" x14ac:dyDescent="0.3">
      <c r="A15" s="27">
        <v>7</v>
      </c>
      <c r="B15" s="28" t="s">
        <v>44</v>
      </c>
      <c r="C15" s="29" t="s">
        <v>45</v>
      </c>
      <c r="D15" s="30">
        <v>118586692</v>
      </c>
      <c r="E15" s="31" t="s">
        <v>130</v>
      </c>
      <c r="F15" s="31" t="s">
        <v>131</v>
      </c>
      <c r="G15" s="32" t="s">
        <v>125</v>
      </c>
      <c r="H15" s="31" t="s">
        <v>145</v>
      </c>
      <c r="I15" s="31" t="s">
        <v>46</v>
      </c>
      <c r="J15" s="30" t="s">
        <v>47</v>
      </c>
      <c r="K15" s="33">
        <v>46267</v>
      </c>
      <c r="L15" s="34">
        <v>657.28</v>
      </c>
      <c r="M15" s="34">
        <f>L15/26</f>
        <v>25.279999999999998</v>
      </c>
      <c r="N15" s="47">
        <v>1</v>
      </c>
      <c r="O15" s="47"/>
      <c r="P15" s="47">
        <v>1</v>
      </c>
      <c r="Q15" s="46"/>
      <c r="R15" s="46">
        <v>1</v>
      </c>
      <c r="S15" s="47">
        <v>1</v>
      </c>
      <c r="T15" s="143" t="s">
        <v>38</v>
      </c>
      <c r="U15" s="47"/>
      <c r="V15" s="47">
        <v>1</v>
      </c>
      <c r="W15" s="47">
        <v>1</v>
      </c>
      <c r="X15" s="47">
        <v>1</v>
      </c>
      <c r="Y15" s="46">
        <v>1</v>
      </c>
      <c r="Z15" s="47">
        <v>1</v>
      </c>
      <c r="AA15" s="142" t="s">
        <v>38</v>
      </c>
      <c r="AB15" s="47">
        <v>1</v>
      </c>
      <c r="AC15" s="31">
        <f t="shared" si="17"/>
        <v>10</v>
      </c>
      <c r="AD15" s="34">
        <f t="shared" si="16"/>
        <v>252.79999999999998</v>
      </c>
      <c r="AE15" s="31">
        <f t="shared" si="3"/>
        <v>0</v>
      </c>
      <c r="AF15" s="31">
        <f t="shared" si="0"/>
        <v>0</v>
      </c>
      <c r="AG15" s="31">
        <v>33.18</v>
      </c>
      <c r="AH15" s="31">
        <f t="shared" si="15"/>
        <v>2</v>
      </c>
      <c r="AI15" s="31">
        <f t="shared" si="4"/>
        <v>66.36</v>
      </c>
      <c r="AJ15" s="79">
        <f t="shared" ref="AJ15:AJ78" si="26">+COUNTIF(N15:AB15,"I")</f>
        <v>0</v>
      </c>
      <c r="AK15" s="34">
        <f t="shared" si="18"/>
        <v>0</v>
      </c>
      <c r="AL15" s="80"/>
      <c r="AM15" s="34">
        <f t="shared" si="14"/>
        <v>0</v>
      </c>
      <c r="AN15" s="79">
        <v>0</v>
      </c>
      <c r="AO15" s="34">
        <f t="shared" si="19"/>
        <v>0</v>
      </c>
      <c r="AP15" s="34"/>
      <c r="AQ15" s="34"/>
      <c r="AR15" s="31"/>
      <c r="AS15" s="31"/>
      <c r="AT15" s="34">
        <f t="shared" si="6"/>
        <v>319.15999999999997</v>
      </c>
      <c r="AU15" s="34">
        <f t="shared" si="7"/>
        <v>31.118099999999998</v>
      </c>
      <c r="AV15" s="34">
        <f t="shared" si="8"/>
        <v>3.9894999999999996</v>
      </c>
      <c r="AW15" s="34"/>
      <c r="AX15" s="34"/>
      <c r="AY15" s="34">
        <v>2.5</v>
      </c>
      <c r="AZ15" s="34"/>
      <c r="BA15" s="34">
        <f t="shared" si="9"/>
        <v>37.607599999999998</v>
      </c>
      <c r="BB15" s="34">
        <f>AT15+AX15-BA15</f>
        <v>281.55239999999998</v>
      </c>
      <c r="BC15" s="81"/>
      <c r="BD15" s="34">
        <f t="shared" ref="BD15" si="27">BB15*12.25%</f>
        <v>34.490168999999995</v>
      </c>
      <c r="BE15" s="34">
        <f t="shared" si="12"/>
        <v>4.2232859999999999</v>
      </c>
      <c r="BF15" s="165">
        <f t="shared" si="13"/>
        <v>5.9126003999999996</v>
      </c>
    </row>
    <row r="16" spans="1:154" s="83" customFormat="1" x14ac:dyDescent="0.3">
      <c r="A16" s="27">
        <v>8</v>
      </c>
      <c r="B16" s="36" t="s">
        <v>44</v>
      </c>
      <c r="C16" s="48" t="s">
        <v>45</v>
      </c>
      <c r="D16" s="49">
        <v>117765404</v>
      </c>
      <c r="E16" s="44" t="s">
        <v>220</v>
      </c>
      <c r="F16" s="44" t="s">
        <v>221</v>
      </c>
      <c r="G16" s="50" t="s">
        <v>206</v>
      </c>
      <c r="H16" s="10" t="s">
        <v>145</v>
      </c>
      <c r="I16" s="31" t="s">
        <v>46</v>
      </c>
      <c r="J16" s="30" t="s">
        <v>47</v>
      </c>
      <c r="K16" s="51" t="s">
        <v>222</v>
      </c>
      <c r="L16" s="34">
        <v>657.28</v>
      </c>
      <c r="M16" s="34">
        <v>25.28</v>
      </c>
      <c r="N16" s="47">
        <v>1</v>
      </c>
      <c r="O16" s="47"/>
      <c r="P16" s="46"/>
      <c r="Q16" s="46">
        <v>1</v>
      </c>
      <c r="R16" s="151" t="s">
        <v>229</v>
      </c>
      <c r="S16" s="151" t="s">
        <v>229</v>
      </c>
      <c r="T16" s="151" t="s">
        <v>229</v>
      </c>
      <c r="U16" s="151" t="s">
        <v>229</v>
      </c>
      <c r="V16" s="151" t="s">
        <v>229</v>
      </c>
      <c r="W16" s="151" t="s">
        <v>229</v>
      </c>
      <c r="X16" s="151" t="s">
        <v>229</v>
      </c>
      <c r="Y16" s="151" t="s">
        <v>229</v>
      </c>
      <c r="Z16" s="151" t="s">
        <v>229</v>
      </c>
      <c r="AA16" s="151" t="s">
        <v>229</v>
      </c>
      <c r="AB16" s="151" t="s">
        <v>229</v>
      </c>
      <c r="AC16" s="31">
        <f t="shared" si="17"/>
        <v>2</v>
      </c>
      <c r="AD16" s="34">
        <f t="shared" si="16"/>
        <v>50.56</v>
      </c>
      <c r="AE16" s="31">
        <f t="shared" si="3"/>
        <v>0</v>
      </c>
      <c r="AF16" s="31">
        <f t="shared" si="0"/>
        <v>0</v>
      </c>
      <c r="AG16" s="31">
        <v>33.18</v>
      </c>
      <c r="AH16" s="31">
        <f t="shared" si="15"/>
        <v>0</v>
      </c>
      <c r="AI16" s="31">
        <f t="shared" si="4"/>
        <v>0</v>
      </c>
      <c r="AJ16" s="79">
        <f t="shared" si="26"/>
        <v>0</v>
      </c>
      <c r="AK16" s="34">
        <f t="shared" si="18"/>
        <v>0</v>
      </c>
      <c r="AL16" s="80"/>
      <c r="AM16" s="34">
        <f t="shared" si="14"/>
        <v>0</v>
      </c>
      <c r="AN16" s="79">
        <v>0</v>
      </c>
      <c r="AO16" s="34">
        <f t="shared" si="19"/>
        <v>0</v>
      </c>
      <c r="AP16" s="34"/>
      <c r="AQ16" s="34"/>
      <c r="AR16" s="31"/>
      <c r="AS16" s="31"/>
      <c r="AT16" s="34">
        <f t="shared" si="6"/>
        <v>50.56</v>
      </c>
      <c r="AU16" s="34">
        <f t="shared" si="7"/>
        <v>4.9296000000000006</v>
      </c>
      <c r="AV16" s="34">
        <f t="shared" si="8"/>
        <v>0.63200000000000012</v>
      </c>
      <c r="AW16" s="34"/>
      <c r="AX16" s="34"/>
      <c r="AY16" s="34">
        <v>2.5</v>
      </c>
      <c r="AZ16" s="34"/>
      <c r="BA16" s="34">
        <f t="shared" si="9"/>
        <v>8.0616000000000003</v>
      </c>
      <c r="BB16" s="34">
        <f t="shared" ref="BB16" si="28">AT16+AX16-BA16</f>
        <v>42.498400000000004</v>
      </c>
      <c r="BC16" s="81"/>
      <c r="BD16" s="34">
        <f t="shared" si="11"/>
        <v>5.206054</v>
      </c>
      <c r="BE16" s="34">
        <f t="shared" si="12"/>
        <v>0.63747600000000004</v>
      </c>
      <c r="BF16" s="165">
        <f t="shared" si="13"/>
        <v>0.8924664000000001</v>
      </c>
    </row>
    <row r="17" spans="1:154" s="83" customFormat="1" x14ac:dyDescent="0.3">
      <c r="A17" s="27">
        <v>9</v>
      </c>
      <c r="B17" s="36" t="s">
        <v>44</v>
      </c>
      <c r="C17" s="48" t="s">
        <v>45</v>
      </c>
      <c r="D17" s="49">
        <v>118899947</v>
      </c>
      <c r="E17" s="44" t="s">
        <v>246</v>
      </c>
      <c r="F17" s="44" t="s">
        <v>247</v>
      </c>
      <c r="G17" s="50" t="s">
        <v>225</v>
      </c>
      <c r="H17" s="10" t="s">
        <v>145</v>
      </c>
      <c r="I17" s="31" t="s">
        <v>46</v>
      </c>
      <c r="J17" s="30" t="s">
        <v>47</v>
      </c>
      <c r="K17" s="51" t="s">
        <v>266</v>
      </c>
      <c r="L17" s="34">
        <v>657.28</v>
      </c>
      <c r="M17" s="34">
        <v>25.28</v>
      </c>
      <c r="N17" s="46"/>
      <c r="O17" s="46">
        <v>1</v>
      </c>
      <c r="P17" s="46"/>
      <c r="Q17" s="46"/>
      <c r="R17" s="151" t="s">
        <v>229</v>
      </c>
      <c r="S17" s="151" t="s">
        <v>229</v>
      </c>
      <c r="T17" s="151" t="s">
        <v>229</v>
      </c>
      <c r="U17" s="151" t="s">
        <v>229</v>
      </c>
      <c r="V17" s="151" t="s">
        <v>229</v>
      </c>
      <c r="W17" s="151" t="s">
        <v>229</v>
      </c>
      <c r="X17" s="151" t="s">
        <v>229</v>
      </c>
      <c r="Y17" s="151" t="s">
        <v>229</v>
      </c>
      <c r="Z17" s="151" t="s">
        <v>229</v>
      </c>
      <c r="AA17" s="152" t="s">
        <v>229</v>
      </c>
      <c r="AB17" s="151" t="s">
        <v>229</v>
      </c>
      <c r="AC17" s="31">
        <f t="shared" si="17"/>
        <v>1</v>
      </c>
      <c r="AD17" s="34">
        <f t="shared" si="16"/>
        <v>25.28</v>
      </c>
      <c r="AE17" s="31">
        <f t="shared" si="3"/>
        <v>0</v>
      </c>
      <c r="AF17" s="31">
        <f t="shared" si="0"/>
        <v>0</v>
      </c>
      <c r="AG17" s="31">
        <v>33.18</v>
      </c>
      <c r="AH17" s="31">
        <f t="shared" si="15"/>
        <v>0</v>
      </c>
      <c r="AI17" s="31">
        <f t="shared" si="4"/>
        <v>0</v>
      </c>
      <c r="AJ17" s="79">
        <f t="shared" si="26"/>
        <v>0</v>
      </c>
      <c r="AK17" s="34">
        <f t="shared" si="18"/>
        <v>0</v>
      </c>
      <c r="AL17" s="80"/>
      <c r="AM17" s="34">
        <f t="shared" ref="AM17" si="29">3.16*8*2.5*AL17</f>
        <v>0</v>
      </c>
      <c r="AN17" s="79">
        <v>0</v>
      </c>
      <c r="AO17" s="34">
        <f t="shared" si="19"/>
        <v>0</v>
      </c>
      <c r="AP17" s="34"/>
      <c r="AQ17" s="34"/>
      <c r="AR17" s="31"/>
      <c r="AS17" s="31"/>
      <c r="AT17" s="34">
        <f t="shared" si="6"/>
        <v>25.28</v>
      </c>
      <c r="AU17" s="34">
        <f t="shared" si="7"/>
        <v>2.4648000000000003</v>
      </c>
      <c r="AV17" s="34">
        <f t="shared" si="8"/>
        <v>0.31600000000000006</v>
      </c>
      <c r="AW17" s="34"/>
      <c r="AX17" s="34"/>
      <c r="AY17" s="34">
        <v>2.5</v>
      </c>
      <c r="AZ17" s="34"/>
      <c r="BA17" s="34">
        <f t="shared" si="9"/>
        <v>5.2808000000000002</v>
      </c>
      <c r="BB17" s="34">
        <f t="shared" si="10"/>
        <v>19.999200000000002</v>
      </c>
      <c r="BC17" s="81"/>
      <c r="BD17" s="34">
        <f t="shared" si="11"/>
        <v>2.4499020000000002</v>
      </c>
      <c r="BE17" s="34">
        <f t="shared" si="12"/>
        <v>0.29998800000000003</v>
      </c>
      <c r="BF17" s="165">
        <f t="shared" si="13"/>
        <v>0.41998320000000006</v>
      </c>
    </row>
    <row r="18" spans="1:154" s="82" customFormat="1" x14ac:dyDescent="0.3">
      <c r="A18" s="27">
        <v>10</v>
      </c>
      <c r="B18" s="36" t="s">
        <v>44</v>
      </c>
      <c r="C18" s="29" t="s">
        <v>45</v>
      </c>
      <c r="D18" s="43">
        <v>118825645</v>
      </c>
      <c r="E18" s="31" t="s">
        <v>185</v>
      </c>
      <c r="F18" s="31" t="s">
        <v>188</v>
      </c>
      <c r="G18" s="32" t="s">
        <v>177</v>
      </c>
      <c r="H18" s="10" t="s">
        <v>145</v>
      </c>
      <c r="I18" s="31" t="s">
        <v>46</v>
      </c>
      <c r="J18" s="30" t="s">
        <v>47</v>
      </c>
      <c r="K18" s="33">
        <v>46330</v>
      </c>
      <c r="L18" s="34">
        <v>657.28</v>
      </c>
      <c r="M18" s="34">
        <v>25.28</v>
      </c>
      <c r="N18" s="47"/>
      <c r="O18" s="47"/>
      <c r="P18" s="46"/>
      <c r="Q18" s="46">
        <v>1</v>
      </c>
      <c r="R18" s="150" t="s">
        <v>229</v>
      </c>
      <c r="S18" s="151" t="s">
        <v>229</v>
      </c>
      <c r="T18" s="151" t="s">
        <v>229</v>
      </c>
      <c r="U18" s="151" t="s">
        <v>229</v>
      </c>
      <c r="V18" s="151" t="s">
        <v>229</v>
      </c>
      <c r="W18" s="151" t="s">
        <v>229</v>
      </c>
      <c r="X18" s="151" t="s">
        <v>229</v>
      </c>
      <c r="Y18" s="150" t="s">
        <v>229</v>
      </c>
      <c r="Z18" s="151" t="s">
        <v>229</v>
      </c>
      <c r="AA18" s="152" t="s">
        <v>229</v>
      </c>
      <c r="AB18" s="151" t="s">
        <v>229</v>
      </c>
      <c r="AC18" s="31">
        <f t="shared" si="17"/>
        <v>1</v>
      </c>
      <c r="AD18" s="34">
        <f t="shared" si="16"/>
        <v>25.28</v>
      </c>
      <c r="AE18" s="31">
        <f t="shared" si="3"/>
        <v>0</v>
      </c>
      <c r="AF18" s="31">
        <f t="shared" si="0"/>
        <v>0</v>
      </c>
      <c r="AG18" s="31">
        <v>33.18</v>
      </c>
      <c r="AH18" s="31">
        <f t="shared" si="15"/>
        <v>0</v>
      </c>
      <c r="AI18" s="31">
        <f t="shared" si="4"/>
        <v>0</v>
      </c>
      <c r="AJ18" s="79">
        <f t="shared" si="26"/>
        <v>0</v>
      </c>
      <c r="AK18" s="34">
        <f t="shared" si="18"/>
        <v>0</v>
      </c>
      <c r="AL18" s="80"/>
      <c r="AM18" s="34">
        <f t="shared" si="5"/>
        <v>0</v>
      </c>
      <c r="AN18" s="79">
        <v>0</v>
      </c>
      <c r="AO18" s="34">
        <f t="shared" si="19"/>
        <v>0</v>
      </c>
      <c r="AP18" s="34"/>
      <c r="AQ18" s="34"/>
      <c r="AR18" s="31"/>
      <c r="AS18" s="31"/>
      <c r="AT18" s="34">
        <f t="shared" si="6"/>
        <v>25.28</v>
      </c>
      <c r="AU18" s="34">
        <f t="shared" si="7"/>
        <v>2.4648000000000003</v>
      </c>
      <c r="AV18" s="34">
        <f t="shared" si="8"/>
        <v>0.31600000000000006</v>
      </c>
      <c r="AW18" s="34"/>
      <c r="AX18" s="34"/>
      <c r="AY18" s="34">
        <v>2.5</v>
      </c>
      <c r="AZ18" s="34"/>
      <c r="BA18" s="34">
        <f t="shared" si="9"/>
        <v>5.2808000000000002</v>
      </c>
      <c r="BB18" s="34">
        <f t="shared" si="10"/>
        <v>19.999200000000002</v>
      </c>
      <c r="BC18" s="81"/>
      <c r="BD18" s="34">
        <f t="shared" si="11"/>
        <v>2.4499020000000002</v>
      </c>
      <c r="BE18" s="34">
        <f t="shared" si="12"/>
        <v>0.29998800000000003</v>
      </c>
      <c r="BF18" s="165">
        <f t="shared" si="13"/>
        <v>0.41998320000000006</v>
      </c>
    </row>
    <row r="19" spans="1:154" s="83" customFormat="1" x14ac:dyDescent="0.3">
      <c r="A19" s="27">
        <v>11</v>
      </c>
      <c r="B19" s="36" t="s">
        <v>44</v>
      </c>
      <c r="C19" s="48" t="s">
        <v>45</v>
      </c>
      <c r="D19" s="167">
        <v>117483776</v>
      </c>
      <c r="E19" s="44" t="s">
        <v>248</v>
      </c>
      <c r="F19" s="44" t="s">
        <v>249</v>
      </c>
      <c r="G19" s="50" t="s">
        <v>226</v>
      </c>
      <c r="H19" s="10" t="s">
        <v>145</v>
      </c>
      <c r="I19" s="31" t="s">
        <v>46</v>
      </c>
      <c r="J19" s="30" t="s">
        <v>47</v>
      </c>
      <c r="K19" s="51" t="s">
        <v>265</v>
      </c>
      <c r="L19" s="34">
        <v>657.28</v>
      </c>
      <c r="M19" s="34">
        <v>25.28</v>
      </c>
      <c r="N19" s="46"/>
      <c r="O19" s="46">
        <v>1</v>
      </c>
      <c r="P19" s="46"/>
      <c r="Q19" s="46"/>
      <c r="R19" s="46">
        <v>1</v>
      </c>
      <c r="S19" s="46">
        <v>1</v>
      </c>
      <c r="T19" s="143" t="s">
        <v>38</v>
      </c>
      <c r="U19" s="46"/>
      <c r="V19" s="46"/>
      <c r="W19" s="46"/>
      <c r="X19" s="46"/>
      <c r="Y19" s="47">
        <v>1</v>
      </c>
      <c r="Z19" s="47">
        <v>1</v>
      </c>
      <c r="AA19" s="141" t="s">
        <v>38</v>
      </c>
      <c r="AB19" s="47" t="s">
        <v>58</v>
      </c>
      <c r="AC19" s="31">
        <f t="shared" si="17"/>
        <v>5</v>
      </c>
      <c r="AD19" s="34">
        <f t="shared" si="16"/>
        <v>126.4</v>
      </c>
      <c r="AE19" s="31">
        <f t="shared" si="3"/>
        <v>0</v>
      </c>
      <c r="AF19" s="31">
        <f t="shared" si="0"/>
        <v>0</v>
      </c>
      <c r="AG19" s="31">
        <v>33.18</v>
      </c>
      <c r="AH19" s="31">
        <f t="shared" si="15"/>
        <v>2</v>
      </c>
      <c r="AI19" s="31">
        <f t="shared" si="4"/>
        <v>66.36</v>
      </c>
      <c r="AJ19" s="79">
        <f t="shared" si="26"/>
        <v>0</v>
      </c>
      <c r="AK19" s="34">
        <f t="shared" si="18"/>
        <v>0</v>
      </c>
      <c r="AL19" s="80"/>
      <c r="AM19" s="34">
        <f t="shared" si="5"/>
        <v>0</v>
      </c>
      <c r="AN19" s="79">
        <v>0</v>
      </c>
      <c r="AO19" s="34">
        <f t="shared" si="19"/>
        <v>0</v>
      </c>
      <c r="AP19" s="34"/>
      <c r="AQ19" s="34"/>
      <c r="AR19" s="31"/>
      <c r="AS19" s="31"/>
      <c r="AT19" s="34">
        <f t="shared" si="6"/>
        <v>192.76</v>
      </c>
      <c r="AU19" s="34">
        <f t="shared" si="7"/>
        <v>18.7941</v>
      </c>
      <c r="AV19" s="34">
        <f t="shared" si="8"/>
        <v>2.4095</v>
      </c>
      <c r="AW19" s="34"/>
      <c r="AX19" s="34"/>
      <c r="AY19" s="34">
        <v>2.5</v>
      </c>
      <c r="AZ19" s="34"/>
      <c r="BA19" s="34">
        <f t="shared" si="9"/>
        <v>23.703600000000002</v>
      </c>
      <c r="BB19" s="34">
        <f t="shared" si="10"/>
        <v>169.0564</v>
      </c>
      <c r="BC19" s="81"/>
      <c r="BD19" s="34">
        <f t="shared" si="11"/>
        <v>20.709409000000001</v>
      </c>
      <c r="BE19" s="34">
        <f t="shared" si="12"/>
        <v>2.5358459999999998</v>
      </c>
      <c r="BF19" s="165">
        <f t="shared" si="13"/>
        <v>3.5501844</v>
      </c>
    </row>
    <row r="20" spans="1:154" s="82" customFormat="1" x14ac:dyDescent="0.3">
      <c r="A20" s="27">
        <v>12</v>
      </c>
      <c r="B20" s="28" t="s">
        <v>44</v>
      </c>
      <c r="C20" s="29" t="s">
        <v>45</v>
      </c>
      <c r="D20" s="30">
        <v>118579325</v>
      </c>
      <c r="E20" s="31" t="s">
        <v>98</v>
      </c>
      <c r="F20" s="31" t="s">
        <v>99</v>
      </c>
      <c r="G20" s="32" t="s">
        <v>89</v>
      </c>
      <c r="H20" s="31" t="s">
        <v>145</v>
      </c>
      <c r="I20" s="31" t="s">
        <v>46</v>
      </c>
      <c r="J20" s="30" t="s">
        <v>47</v>
      </c>
      <c r="K20" s="33">
        <v>46144</v>
      </c>
      <c r="L20" s="34">
        <v>657.28</v>
      </c>
      <c r="M20" s="34">
        <f t="shared" si="2"/>
        <v>25.279999999999998</v>
      </c>
      <c r="N20" s="47">
        <v>1</v>
      </c>
      <c r="O20" s="47"/>
      <c r="P20" s="47">
        <v>1</v>
      </c>
      <c r="Q20" s="46">
        <v>1</v>
      </c>
      <c r="R20" s="46">
        <v>1</v>
      </c>
      <c r="S20" s="47">
        <v>1</v>
      </c>
      <c r="T20" s="141"/>
      <c r="U20" s="47"/>
      <c r="V20" s="47">
        <v>1</v>
      </c>
      <c r="W20" s="47">
        <v>1</v>
      </c>
      <c r="X20" s="47">
        <v>1</v>
      </c>
      <c r="Y20" s="46">
        <v>1</v>
      </c>
      <c r="Z20" s="47">
        <v>1</v>
      </c>
      <c r="AA20" s="142" t="s">
        <v>38</v>
      </c>
      <c r="AB20" s="47">
        <v>1</v>
      </c>
      <c r="AC20" s="31">
        <f t="shared" si="17"/>
        <v>11</v>
      </c>
      <c r="AD20" s="34">
        <f t="shared" si="16"/>
        <v>278.08</v>
      </c>
      <c r="AE20" s="31">
        <f t="shared" si="3"/>
        <v>0</v>
      </c>
      <c r="AF20" s="31">
        <f t="shared" si="0"/>
        <v>0</v>
      </c>
      <c r="AG20" s="31">
        <v>33.18</v>
      </c>
      <c r="AH20" s="31">
        <f t="shared" si="15"/>
        <v>1</v>
      </c>
      <c r="AI20" s="31">
        <f t="shared" si="4"/>
        <v>33.18</v>
      </c>
      <c r="AJ20" s="79">
        <f t="shared" si="26"/>
        <v>0</v>
      </c>
      <c r="AK20" s="34">
        <f t="shared" si="18"/>
        <v>0</v>
      </c>
      <c r="AL20" s="80"/>
      <c r="AM20" s="34">
        <f t="shared" si="5"/>
        <v>0</v>
      </c>
      <c r="AN20" s="79">
        <v>0</v>
      </c>
      <c r="AO20" s="34">
        <f t="shared" si="19"/>
        <v>0</v>
      </c>
      <c r="AP20" s="34"/>
      <c r="AQ20" s="34"/>
      <c r="AR20" s="31"/>
      <c r="AS20" s="31"/>
      <c r="AT20" s="34">
        <f t="shared" si="6"/>
        <v>311.26</v>
      </c>
      <c r="AU20" s="34">
        <f t="shared" si="7"/>
        <v>30.347850000000001</v>
      </c>
      <c r="AV20" s="34">
        <f t="shared" si="8"/>
        <v>3.8907500000000002</v>
      </c>
      <c r="AW20" s="34"/>
      <c r="AX20" s="34"/>
      <c r="AY20" s="34">
        <v>2.5</v>
      </c>
      <c r="AZ20" s="34"/>
      <c r="BA20" s="34">
        <f t="shared" si="9"/>
        <v>36.738599999999998</v>
      </c>
      <c r="BB20" s="34">
        <f t="shared" si="10"/>
        <v>274.52139999999997</v>
      </c>
      <c r="BC20" s="81"/>
      <c r="BD20" s="34">
        <f t="shared" si="11"/>
        <v>33.628871499999995</v>
      </c>
      <c r="BE20" s="34">
        <f t="shared" si="12"/>
        <v>4.1178209999999993</v>
      </c>
      <c r="BF20" s="165">
        <f t="shared" si="13"/>
        <v>5.7649493999999999</v>
      </c>
    </row>
    <row r="21" spans="1:154" s="83" customFormat="1" x14ac:dyDescent="0.3">
      <c r="A21" s="27">
        <v>13</v>
      </c>
      <c r="B21" s="36" t="s">
        <v>44</v>
      </c>
      <c r="C21" s="48" t="s">
        <v>45</v>
      </c>
      <c r="D21" s="49">
        <v>118940287</v>
      </c>
      <c r="E21" s="44" t="s">
        <v>251</v>
      </c>
      <c r="F21" s="44" t="s">
        <v>254</v>
      </c>
      <c r="G21" s="50" t="s">
        <v>255</v>
      </c>
      <c r="H21" s="10" t="s">
        <v>145</v>
      </c>
      <c r="I21" s="31" t="s">
        <v>46</v>
      </c>
      <c r="J21" s="30" t="s">
        <v>47</v>
      </c>
      <c r="K21" s="51" t="s">
        <v>264</v>
      </c>
      <c r="L21" s="34">
        <v>657.28</v>
      </c>
      <c r="M21" s="34">
        <v>25.28</v>
      </c>
      <c r="N21" s="46">
        <v>1</v>
      </c>
      <c r="O21" s="46"/>
      <c r="P21" s="46">
        <v>1</v>
      </c>
      <c r="Q21" s="46"/>
      <c r="R21" s="46">
        <v>1</v>
      </c>
      <c r="S21" s="46">
        <v>1</v>
      </c>
      <c r="T21" s="143"/>
      <c r="U21" s="46"/>
      <c r="V21" s="46"/>
      <c r="W21" s="46"/>
      <c r="X21" s="46">
        <v>1</v>
      </c>
      <c r="Y21" s="46">
        <v>1</v>
      </c>
      <c r="Z21" s="46">
        <v>1</v>
      </c>
      <c r="AA21" s="141" t="s">
        <v>38</v>
      </c>
      <c r="AB21" s="47">
        <v>1</v>
      </c>
      <c r="AC21" s="31">
        <f t="shared" si="17"/>
        <v>8</v>
      </c>
      <c r="AD21" s="34">
        <f t="shared" si="16"/>
        <v>202.24</v>
      </c>
      <c r="AE21" s="31">
        <f t="shared" si="3"/>
        <v>0</v>
      </c>
      <c r="AF21" s="31">
        <f t="shared" ref="AF21:AF83" si="30">AE21*M21</f>
        <v>0</v>
      </c>
      <c r="AG21" s="31">
        <v>33.18</v>
      </c>
      <c r="AH21" s="31">
        <f t="shared" si="15"/>
        <v>1</v>
      </c>
      <c r="AI21" s="31">
        <f t="shared" si="4"/>
        <v>33.18</v>
      </c>
      <c r="AJ21" s="79">
        <f t="shared" si="26"/>
        <v>0</v>
      </c>
      <c r="AK21" s="34">
        <f t="shared" si="18"/>
        <v>0</v>
      </c>
      <c r="AL21" s="80"/>
      <c r="AM21" s="34">
        <f t="shared" si="5"/>
        <v>0</v>
      </c>
      <c r="AN21" s="79">
        <v>0</v>
      </c>
      <c r="AO21" s="34">
        <f t="shared" si="19"/>
        <v>0</v>
      </c>
      <c r="AP21" s="34"/>
      <c r="AQ21" s="34"/>
      <c r="AR21" s="31"/>
      <c r="AS21" s="31"/>
      <c r="AT21" s="34">
        <f t="shared" si="6"/>
        <v>235.42000000000002</v>
      </c>
      <c r="AU21" s="34">
        <f t="shared" si="7"/>
        <v>22.953450000000004</v>
      </c>
      <c r="AV21" s="34">
        <f t="shared" si="8"/>
        <v>2.9427500000000002</v>
      </c>
      <c r="AW21" s="34"/>
      <c r="AX21" s="34"/>
      <c r="AY21" s="34">
        <v>2.5</v>
      </c>
      <c r="AZ21" s="34"/>
      <c r="BA21" s="34">
        <f t="shared" si="9"/>
        <v>28.396200000000004</v>
      </c>
      <c r="BB21" s="34">
        <f t="shared" si="10"/>
        <v>207.02380000000002</v>
      </c>
      <c r="BC21" s="81"/>
      <c r="BD21" s="34">
        <f t="shared" si="11"/>
        <v>25.360415500000002</v>
      </c>
      <c r="BE21" s="34">
        <f t="shared" si="12"/>
        <v>3.1053570000000001</v>
      </c>
      <c r="BF21" s="165">
        <f t="shared" si="13"/>
        <v>4.3474998000000005</v>
      </c>
    </row>
    <row r="22" spans="1:154" s="78" customFormat="1" x14ac:dyDescent="0.3">
      <c r="A22" s="27">
        <v>14</v>
      </c>
      <c r="B22" s="36" t="s">
        <v>44</v>
      </c>
      <c r="C22" s="37" t="s">
        <v>45</v>
      </c>
      <c r="D22" s="30">
        <v>116875105</v>
      </c>
      <c r="E22" s="31" t="s">
        <v>136</v>
      </c>
      <c r="F22" s="38" t="s">
        <v>137</v>
      </c>
      <c r="G22" s="39" t="s">
        <v>176</v>
      </c>
      <c r="H22" s="10" t="s">
        <v>145</v>
      </c>
      <c r="I22" s="31" t="s">
        <v>46</v>
      </c>
      <c r="J22" s="30" t="s">
        <v>47</v>
      </c>
      <c r="K22" s="41">
        <v>46115</v>
      </c>
      <c r="L22" s="42">
        <v>657.28</v>
      </c>
      <c r="M22" s="42">
        <f>L22/26</f>
        <v>25.279999999999998</v>
      </c>
      <c r="N22" s="47">
        <v>1</v>
      </c>
      <c r="O22" s="47"/>
      <c r="P22" s="47"/>
      <c r="Q22" s="46"/>
      <c r="R22" s="46">
        <v>1</v>
      </c>
      <c r="S22" s="47">
        <v>1</v>
      </c>
      <c r="T22" s="141" t="s">
        <v>38</v>
      </c>
      <c r="U22" s="47"/>
      <c r="V22" s="149">
        <v>1</v>
      </c>
      <c r="W22" s="47">
        <v>1</v>
      </c>
      <c r="X22" s="47">
        <v>1</v>
      </c>
      <c r="Y22" s="46">
        <v>1</v>
      </c>
      <c r="Z22" s="47">
        <v>1</v>
      </c>
      <c r="AA22" s="142" t="s">
        <v>38</v>
      </c>
      <c r="AB22" s="47">
        <v>1</v>
      </c>
      <c r="AC22" s="31">
        <f t="shared" si="17"/>
        <v>9</v>
      </c>
      <c r="AD22" s="34">
        <f t="shared" si="16"/>
        <v>227.51999999999998</v>
      </c>
      <c r="AE22" s="31">
        <f t="shared" si="3"/>
        <v>0</v>
      </c>
      <c r="AF22" s="31">
        <f t="shared" si="30"/>
        <v>0</v>
      </c>
      <c r="AG22" s="31">
        <v>33.18</v>
      </c>
      <c r="AH22" s="31">
        <f t="shared" si="15"/>
        <v>2</v>
      </c>
      <c r="AI22" s="31">
        <f t="shared" si="4"/>
        <v>66.36</v>
      </c>
      <c r="AJ22" s="79">
        <f t="shared" si="26"/>
        <v>0</v>
      </c>
      <c r="AK22" s="34">
        <f t="shared" si="18"/>
        <v>0</v>
      </c>
      <c r="AL22" s="80"/>
      <c r="AM22" s="34">
        <f t="shared" si="5"/>
        <v>0</v>
      </c>
      <c r="AN22" s="79">
        <v>0</v>
      </c>
      <c r="AO22" s="34">
        <f t="shared" si="19"/>
        <v>0</v>
      </c>
      <c r="AP22" s="34"/>
      <c r="AQ22" s="34"/>
      <c r="AR22" s="31"/>
      <c r="AS22" s="31"/>
      <c r="AT22" s="34">
        <f t="shared" si="6"/>
        <v>293.88</v>
      </c>
      <c r="AU22" s="34">
        <f t="shared" si="7"/>
        <v>28.653300000000002</v>
      </c>
      <c r="AV22" s="34">
        <f t="shared" si="8"/>
        <v>3.6735000000000002</v>
      </c>
      <c r="AW22" s="34"/>
      <c r="AX22" s="34"/>
      <c r="AY22" s="34">
        <v>5.5</v>
      </c>
      <c r="AZ22" s="34"/>
      <c r="BA22" s="34">
        <f t="shared" si="9"/>
        <v>37.826799999999999</v>
      </c>
      <c r="BB22" s="34">
        <f t="shared" si="10"/>
        <v>256.0532</v>
      </c>
      <c r="BC22" s="81"/>
      <c r="BD22" s="34">
        <f t="shared" si="11"/>
        <v>31.366516999999998</v>
      </c>
      <c r="BE22" s="34">
        <f t="shared" si="12"/>
        <v>3.8407979999999999</v>
      </c>
      <c r="BF22" s="165">
        <f t="shared" si="13"/>
        <v>5.3771172000000007</v>
      </c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82"/>
      <c r="EM22" s="82"/>
      <c r="EN22" s="82"/>
      <c r="EO22" s="82"/>
      <c r="EP22" s="82"/>
      <c r="EQ22" s="82"/>
      <c r="ER22" s="82"/>
      <c r="ES22" s="82"/>
      <c r="ET22" s="82"/>
      <c r="EU22" s="82"/>
      <c r="EV22" s="82"/>
      <c r="EW22" s="82"/>
      <c r="EX22" s="82"/>
    </row>
    <row r="23" spans="1:154" s="78" customFormat="1" x14ac:dyDescent="0.3">
      <c r="A23" s="27">
        <v>15</v>
      </c>
      <c r="B23" s="28" t="s">
        <v>44</v>
      </c>
      <c r="C23" s="48" t="s">
        <v>45</v>
      </c>
      <c r="D23" s="52">
        <v>118221456</v>
      </c>
      <c r="E23" s="6" t="s">
        <v>73</v>
      </c>
      <c r="F23" s="38" t="s">
        <v>285</v>
      </c>
      <c r="G23" s="140" t="s">
        <v>277</v>
      </c>
      <c r="H23" s="10" t="s">
        <v>145</v>
      </c>
      <c r="I23" s="31" t="s">
        <v>46</v>
      </c>
      <c r="J23" s="30" t="s">
        <v>47</v>
      </c>
      <c r="K23" s="56" t="s">
        <v>152</v>
      </c>
      <c r="L23" s="34">
        <v>657.28</v>
      </c>
      <c r="M23" s="34">
        <f t="shared" ref="M23" si="31">L23/26</f>
        <v>25.279999999999998</v>
      </c>
      <c r="N23" s="47">
        <v>1</v>
      </c>
      <c r="O23" s="47"/>
      <c r="P23" s="47"/>
      <c r="Q23" s="46">
        <v>1</v>
      </c>
      <c r="R23" s="46">
        <v>1</v>
      </c>
      <c r="S23" s="47"/>
      <c r="T23" s="141"/>
      <c r="U23" s="47">
        <v>1</v>
      </c>
      <c r="V23" s="146">
        <v>1</v>
      </c>
      <c r="W23" s="148">
        <v>1</v>
      </c>
      <c r="X23" s="47">
        <v>1</v>
      </c>
      <c r="Y23" s="46">
        <v>1</v>
      </c>
      <c r="Z23" s="47"/>
      <c r="AA23" s="142" t="s">
        <v>38</v>
      </c>
      <c r="AB23" s="47"/>
      <c r="AC23" s="31">
        <f t="shared" si="17"/>
        <v>8</v>
      </c>
      <c r="AD23" s="34">
        <f t="shared" si="16"/>
        <v>202.23999999999998</v>
      </c>
      <c r="AE23" s="31">
        <f t="shared" si="3"/>
        <v>0</v>
      </c>
      <c r="AF23" s="31">
        <f t="shared" si="30"/>
        <v>0</v>
      </c>
      <c r="AG23" s="31">
        <v>33.18</v>
      </c>
      <c r="AH23" s="31">
        <f t="shared" si="15"/>
        <v>1</v>
      </c>
      <c r="AI23" s="31">
        <f t="shared" si="4"/>
        <v>33.18</v>
      </c>
      <c r="AJ23" s="79">
        <f t="shared" si="26"/>
        <v>0</v>
      </c>
      <c r="AK23" s="34">
        <f t="shared" si="18"/>
        <v>0</v>
      </c>
      <c r="AL23" s="138"/>
      <c r="AM23" s="34">
        <f t="shared" si="5"/>
        <v>0</v>
      </c>
      <c r="AN23" s="79">
        <v>0</v>
      </c>
      <c r="AO23" s="34">
        <f t="shared" si="19"/>
        <v>0</v>
      </c>
      <c r="AP23" s="122"/>
      <c r="AQ23" s="122"/>
      <c r="AR23" s="44"/>
      <c r="AS23" s="44"/>
      <c r="AT23" s="34">
        <f t="shared" si="6"/>
        <v>235.42</v>
      </c>
      <c r="AU23" s="34">
        <f t="shared" si="7"/>
        <v>22.95345</v>
      </c>
      <c r="AV23" s="34">
        <f t="shared" si="8"/>
        <v>2.9427500000000002</v>
      </c>
      <c r="AW23" s="122"/>
      <c r="AX23" s="122"/>
      <c r="AY23" s="34">
        <v>2.5</v>
      </c>
      <c r="AZ23" s="122"/>
      <c r="BA23" s="34">
        <f t="shared" si="9"/>
        <v>28.3962</v>
      </c>
      <c r="BB23" s="34">
        <f t="shared" si="10"/>
        <v>207.02379999999999</v>
      </c>
      <c r="BC23" s="139"/>
      <c r="BD23" s="34">
        <f t="shared" si="11"/>
        <v>25.360415499999998</v>
      </c>
      <c r="BE23" s="34">
        <f t="shared" si="12"/>
        <v>3.1053569999999997</v>
      </c>
      <c r="BF23" s="165">
        <f t="shared" si="13"/>
        <v>4.3474998000000005</v>
      </c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82"/>
      <c r="EM23" s="82"/>
      <c r="EN23" s="82"/>
      <c r="EO23" s="82"/>
      <c r="EP23" s="82"/>
      <c r="EQ23" s="82"/>
      <c r="ER23" s="82"/>
      <c r="ES23" s="82"/>
      <c r="ET23" s="82"/>
      <c r="EU23" s="82"/>
      <c r="EV23" s="82"/>
      <c r="EW23" s="82"/>
      <c r="EX23" s="82"/>
    </row>
    <row r="24" spans="1:154" s="83" customFormat="1" x14ac:dyDescent="0.3">
      <c r="A24" s="27">
        <v>16</v>
      </c>
      <c r="B24" s="36" t="s">
        <v>44</v>
      </c>
      <c r="C24" s="37" t="s">
        <v>45</v>
      </c>
      <c r="D24" s="49">
        <v>118691021</v>
      </c>
      <c r="E24" s="44" t="s">
        <v>242</v>
      </c>
      <c r="F24" s="44" t="s">
        <v>243</v>
      </c>
      <c r="G24" s="50" t="s">
        <v>223</v>
      </c>
      <c r="H24" s="10" t="s">
        <v>145</v>
      </c>
      <c r="I24" s="31" t="s">
        <v>46</v>
      </c>
      <c r="J24" s="30" t="s">
        <v>47</v>
      </c>
      <c r="K24" s="51" t="s">
        <v>266</v>
      </c>
      <c r="L24" s="34">
        <v>657.28</v>
      </c>
      <c r="M24" s="34">
        <v>25.28</v>
      </c>
      <c r="N24" s="46"/>
      <c r="O24" s="46">
        <v>1</v>
      </c>
      <c r="P24" s="47"/>
      <c r="Q24" s="47">
        <v>1</v>
      </c>
      <c r="R24" s="47"/>
      <c r="S24" s="46">
        <v>1</v>
      </c>
      <c r="T24" s="141" t="s">
        <v>38</v>
      </c>
      <c r="U24" s="46">
        <v>1</v>
      </c>
      <c r="V24" s="47">
        <v>1</v>
      </c>
      <c r="W24" s="47">
        <v>1</v>
      </c>
      <c r="X24" s="47">
        <v>1</v>
      </c>
      <c r="Y24" s="47">
        <v>1</v>
      </c>
      <c r="Z24" s="47">
        <v>1</v>
      </c>
      <c r="AA24" s="141" t="s">
        <v>38</v>
      </c>
      <c r="AB24" s="47">
        <v>1</v>
      </c>
      <c r="AC24" s="31">
        <f t="shared" si="17"/>
        <v>10</v>
      </c>
      <c r="AD24" s="34">
        <f t="shared" si="16"/>
        <v>252.8</v>
      </c>
      <c r="AE24" s="31">
        <f t="shared" si="3"/>
        <v>0</v>
      </c>
      <c r="AF24" s="31">
        <f t="shared" si="30"/>
        <v>0</v>
      </c>
      <c r="AG24" s="31">
        <v>33.18</v>
      </c>
      <c r="AH24" s="31">
        <f t="shared" si="15"/>
        <v>2</v>
      </c>
      <c r="AI24" s="31">
        <f t="shared" si="4"/>
        <v>66.36</v>
      </c>
      <c r="AJ24" s="79">
        <f t="shared" si="26"/>
        <v>0</v>
      </c>
      <c r="AK24" s="34">
        <f t="shared" si="18"/>
        <v>0</v>
      </c>
      <c r="AL24" s="80"/>
      <c r="AM24" s="34">
        <f t="shared" si="5"/>
        <v>0</v>
      </c>
      <c r="AN24" s="79">
        <v>0</v>
      </c>
      <c r="AO24" s="34">
        <f t="shared" si="19"/>
        <v>0</v>
      </c>
      <c r="AP24" s="34"/>
      <c r="AQ24" s="34"/>
      <c r="AR24" s="31"/>
      <c r="AS24" s="31"/>
      <c r="AT24" s="34">
        <f t="shared" si="6"/>
        <v>319.16000000000003</v>
      </c>
      <c r="AU24" s="34">
        <f t="shared" si="7"/>
        <v>31.118100000000002</v>
      </c>
      <c r="AV24" s="34">
        <f t="shared" si="8"/>
        <v>3.9895000000000005</v>
      </c>
      <c r="AW24" s="34"/>
      <c r="AX24" s="34"/>
      <c r="AY24" s="34">
        <v>2.5</v>
      </c>
      <c r="AZ24" s="34"/>
      <c r="BA24" s="34">
        <f t="shared" si="9"/>
        <v>37.607600000000005</v>
      </c>
      <c r="BB24" s="34">
        <f t="shared" si="10"/>
        <v>281.55240000000003</v>
      </c>
      <c r="BC24" s="81"/>
      <c r="BD24" s="34">
        <f t="shared" si="11"/>
        <v>34.490169000000002</v>
      </c>
      <c r="BE24" s="34">
        <f t="shared" si="12"/>
        <v>4.2232860000000008</v>
      </c>
      <c r="BF24" s="165">
        <f t="shared" si="13"/>
        <v>5.9126004000000014</v>
      </c>
    </row>
    <row r="25" spans="1:154" s="82" customFormat="1" x14ac:dyDescent="0.3">
      <c r="A25" s="27">
        <v>17</v>
      </c>
      <c r="B25" s="36" t="s">
        <v>44</v>
      </c>
      <c r="C25" s="48" t="s">
        <v>45</v>
      </c>
      <c r="D25" s="30">
        <v>118582170</v>
      </c>
      <c r="E25" s="31" t="s">
        <v>103</v>
      </c>
      <c r="F25" s="31" t="s">
        <v>104</v>
      </c>
      <c r="G25" s="32" t="s">
        <v>102</v>
      </c>
      <c r="H25" s="31" t="s">
        <v>145</v>
      </c>
      <c r="I25" s="31" t="s">
        <v>46</v>
      </c>
      <c r="J25" s="30" t="s">
        <v>47</v>
      </c>
      <c r="K25" s="33">
        <v>46267</v>
      </c>
      <c r="L25" s="42">
        <v>657.28</v>
      </c>
      <c r="M25" s="42">
        <f t="shared" ref="M25:M26" si="32">L25/26</f>
        <v>25.279999999999998</v>
      </c>
      <c r="N25" s="47"/>
      <c r="O25" s="47"/>
      <c r="P25" s="47">
        <v>1</v>
      </c>
      <c r="Q25" s="47">
        <v>1</v>
      </c>
      <c r="R25" s="46">
        <v>1</v>
      </c>
      <c r="S25" s="47">
        <v>1</v>
      </c>
      <c r="T25" s="141"/>
      <c r="U25" s="47">
        <v>1</v>
      </c>
      <c r="V25" s="47"/>
      <c r="W25" s="47"/>
      <c r="X25" s="47">
        <v>1</v>
      </c>
      <c r="Y25" s="46">
        <v>1</v>
      </c>
      <c r="Z25" s="47">
        <v>1</v>
      </c>
      <c r="AA25" s="144" t="s">
        <v>38</v>
      </c>
      <c r="AB25" s="47">
        <v>1</v>
      </c>
      <c r="AC25" s="31">
        <f t="shared" si="17"/>
        <v>9</v>
      </c>
      <c r="AD25" s="34">
        <f t="shared" si="16"/>
        <v>227.51999999999998</v>
      </c>
      <c r="AE25" s="31">
        <f t="shared" si="3"/>
        <v>0</v>
      </c>
      <c r="AF25" s="31">
        <f t="shared" si="30"/>
        <v>0</v>
      </c>
      <c r="AG25" s="31">
        <v>33.18</v>
      </c>
      <c r="AH25" s="31">
        <f t="shared" si="15"/>
        <v>1</v>
      </c>
      <c r="AI25" s="31">
        <f t="shared" si="4"/>
        <v>33.18</v>
      </c>
      <c r="AJ25" s="79">
        <f t="shared" si="26"/>
        <v>0</v>
      </c>
      <c r="AK25" s="34">
        <f t="shared" si="18"/>
        <v>0</v>
      </c>
      <c r="AL25" s="80"/>
      <c r="AM25" s="34">
        <f t="shared" si="5"/>
        <v>0</v>
      </c>
      <c r="AN25" s="79">
        <v>0</v>
      </c>
      <c r="AO25" s="34">
        <f t="shared" si="19"/>
        <v>0</v>
      </c>
      <c r="AP25" s="34"/>
      <c r="AQ25" s="34"/>
      <c r="AR25" s="31"/>
      <c r="AS25" s="31"/>
      <c r="AT25" s="34">
        <f t="shared" si="6"/>
        <v>260.7</v>
      </c>
      <c r="AU25" s="34">
        <f t="shared" si="7"/>
        <v>25.41825</v>
      </c>
      <c r="AV25" s="34">
        <f t="shared" si="8"/>
        <v>3.25875</v>
      </c>
      <c r="AW25" s="34"/>
      <c r="AX25" s="34"/>
      <c r="AY25" s="34">
        <v>2.5</v>
      </c>
      <c r="AZ25" s="34"/>
      <c r="BA25" s="34">
        <f t="shared" si="9"/>
        <v>31.177</v>
      </c>
      <c r="BB25" s="34">
        <f t="shared" si="10"/>
        <v>229.523</v>
      </c>
      <c r="BC25" s="81"/>
      <c r="BD25" s="34">
        <f t="shared" si="11"/>
        <v>28.116567499999999</v>
      </c>
      <c r="BE25" s="34">
        <f t="shared" si="12"/>
        <v>3.4428449999999997</v>
      </c>
      <c r="BF25" s="165">
        <f t="shared" si="13"/>
        <v>4.8199830000000006</v>
      </c>
    </row>
    <row r="26" spans="1:154" s="78" customFormat="1" x14ac:dyDescent="0.3">
      <c r="A26" s="27">
        <v>18</v>
      </c>
      <c r="B26" s="36" t="s">
        <v>44</v>
      </c>
      <c r="C26" s="37" t="s">
        <v>45</v>
      </c>
      <c r="D26" s="30">
        <v>117972422</v>
      </c>
      <c r="E26" s="10" t="s">
        <v>157</v>
      </c>
      <c r="F26" s="10" t="s">
        <v>158</v>
      </c>
      <c r="G26" s="39" t="s">
        <v>143</v>
      </c>
      <c r="H26" s="10" t="s">
        <v>145</v>
      </c>
      <c r="I26" s="31" t="s">
        <v>46</v>
      </c>
      <c r="J26" s="40" t="s">
        <v>47</v>
      </c>
      <c r="K26" s="41">
        <v>46299</v>
      </c>
      <c r="L26" s="34">
        <v>657.28</v>
      </c>
      <c r="M26" s="34">
        <f t="shared" si="32"/>
        <v>25.279999999999998</v>
      </c>
      <c r="N26" s="47">
        <v>1</v>
      </c>
      <c r="O26" s="47"/>
      <c r="P26" s="46"/>
      <c r="Q26" s="47">
        <v>1</v>
      </c>
      <c r="R26" s="151" t="s">
        <v>229</v>
      </c>
      <c r="S26" s="151" t="s">
        <v>229</v>
      </c>
      <c r="T26" s="151" t="s">
        <v>229</v>
      </c>
      <c r="U26" s="151" t="s">
        <v>229</v>
      </c>
      <c r="V26" s="151" t="s">
        <v>229</v>
      </c>
      <c r="W26" s="151" t="s">
        <v>229</v>
      </c>
      <c r="X26" s="151" t="s">
        <v>229</v>
      </c>
      <c r="Y26" s="151" t="s">
        <v>229</v>
      </c>
      <c r="Z26" s="151" t="s">
        <v>229</v>
      </c>
      <c r="AA26" s="152" t="s">
        <v>229</v>
      </c>
      <c r="AB26" s="151" t="s">
        <v>229</v>
      </c>
      <c r="AC26" s="31">
        <f t="shared" si="17"/>
        <v>2</v>
      </c>
      <c r="AD26" s="34">
        <f t="shared" si="16"/>
        <v>50.559999999999995</v>
      </c>
      <c r="AE26" s="31">
        <f t="shared" si="3"/>
        <v>0</v>
      </c>
      <c r="AF26" s="31">
        <f t="shared" si="30"/>
        <v>0</v>
      </c>
      <c r="AG26" s="31">
        <v>33.18</v>
      </c>
      <c r="AH26" s="31">
        <f t="shared" si="15"/>
        <v>0</v>
      </c>
      <c r="AI26" s="31">
        <f t="shared" si="4"/>
        <v>0</v>
      </c>
      <c r="AJ26" s="79">
        <f t="shared" si="26"/>
        <v>0</v>
      </c>
      <c r="AK26" s="34">
        <f t="shared" si="18"/>
        <v>0</v>
      </c>
      <c r="AL26" s="80"/>
      <c r="AM26" s="34">
        <f t="shared" si="5"/>
        <v>0</v>
      </c>
      <c r="AN26" s="79">
        <v>0</v>
      </c>
      <c r="AO26" s="34">
        <f t="shared" si="19"/>
        <v>0</v>
      </c>
      <c r="AP26" s="34"/>
      <c r="AQ26" s="34"/>
      <c r="AR26" s="31"/>
      <c r="AS26" s="31"/>
      <c r="AT26" s="34">
        <f t="shared" si="6"/>
        <v>50.559999999999995</v>
      </c>
      <c r="AU26" s="34">
        <f t="shared" si="7"/>
        <v>4.9295999999999998</v>
      </c>
      <c r="AV26" s="34">
        <f t="shared" si="8"/>
        <v>0.63200000000000001</v>
      </c>
      <c r="AW26" s="34"/>
      <c r="AX26" s="34"/>
      <c r="AY26" s="34">
        <v>2.5</v>
      </c>
      <c r="AZ26" s="34"/>
      <c r="BA26" s="34">
        <f t="shared" si="9"/>
        <v>8.0615999999999985</v>
      </c>
      <c r="BB26" s="34">
        <f t="shared" si="10"/>
        <v>42.498399999999997</v>
      </c>
      <c r="BC26" s="81"/>
      <c r="BD26" s="34">
        <f t="shared" si="11"/>
        <v>5.2060539999999991</v>
      </c>
      <c r="BE26" s="34">
        <f t="shared" si="12"/>
        <v>0.63747599999999993</v>
      </c>
      <c r="BF26" s="165">
        <f t="shared" si="13"/>
        <v>0.89246639999999999</v>
      </c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/>
      <c r="DA26" s="82"/>
      <c r="DB26" s="82"/>
      <c r="DC26" s="82"/>
      <c r="DD26" s="82"/>
      <c r="DE26" s="82"/>
      <c r="DF26" s="82"/>
      <c r="DG26" s="82"/>
      <c r="DH26" s="82"/>
      <c r="DI26" s="82"/>
      <c r="DJ26" s="82"/>
      <c r="DK26" s="82"/>
      <c r="DL26" s="82"/>
      <c r="DM26" s="82"/>
      <c r="DN26" s="82"/>
      <c r="DO26" s="82"/>
      <c r="DP26" s="82"/>
      <c r="DQ26" s="82"/>
      <c r="DR26" s="82"/>
      <c r="DS26" s="82"/>
      <c r="DT26" s="82"/>
      <c r="DU26" s="82"/>
      <c r="DV26" s="82"/>
      <c r="DW26" s="82"/>
      <c r="DX26" s="82"/>
      <c r="DY26" s="82"/>
      <c r="DZ26" s="82"/>
      <c r="EA26" s="82"/>
      <c r="EB26" s="82"/>
      <c r="EC26" s="82"/>
      <c r="ED26" s="82"/>
      <c r="EE26" s="82"/>
      <c r="EF26" s="82"/>
      <c r="EG26" s="82"/>
      <c r="EH26" s="82"/>
      <c r="EI26" s="82"/>
      <c r="EJ26" s="82"/>
      <c r="EK26" s="82"/>
      <c r="EL26" s="82"/>
      <c r="EM26" s="82"/>
      <c r="EN26" s="82"/>
      <c r="EO26" s="82"/>
      <c r="EP26" s="82"/>
      <c r="EQ26" s="82"/>
      <c r="ER26" s="82"/>
      <c r="ES26" s="82"/>
      <c r="ET26" s="82"/>
      <c r="EU26" s="82"/>
      <c r="EV26" s="82"/>
      <c r="EW26" s="82"/>
      <c r="EX26" s="82"/>
    </row>
    <row r="27" spans="1:154" s="82" customFormat="1" x14ac:dyDescent="0.3">
      <c r="A27" s="27">
        <v>19</v>
      </c>
      <c r="B27" s="36" t="s">
        <v>44</v>
      </c>
      <c r="C27" s="29" t="s">
        <v>45</v>
      </c>
      <c r="D27" s="30">
        <v>116364308</v>
      </c>
      <c r="E27" s="31" t="s">
        <v>100</v>
      </c>
      <c r="F27" s="31" t="s">
        <v>101</v>
      </c>
      <c r="G27" s="32" t="s">
        <v>90</v>
      </c>
      <c r="H27" s="10" t="s">
        <v>145</v>
      </c>
      <c r="I27" s="31" t="s">
        <v>46</v>
      </c>
      <c r="J27" s="30" t="s">
        <v>47</v>
      </c>
      <c r="K27" s="33">
        <v>46267</v>
      </c>
      <c r="L27" s="34">
        <v>657.28</v>
      </c>
      <c r="M27" s="34">
        <v>25.28</v>
      </c>
      <c r="N27" s="47">
        <v>1</v>
      </c>
      <c r="O27" s="145"/>
      <c r="P27" s="47">
        <v>1</v>
      </c>
      <c r="Q27" s="46">
        <v>1</v>
      </c>
      <c r="R27" s="47">
        <v>1</v>
      </c>
      <c r="S27" s="47">
        <v>1</v>
      </c>
      <c r="T27" s="141"/>
      <c r="U27" s="47">
        <v>1</v>
      </c>
      <c r="V27" s="146">
        <v>1</v>
      </c>
      <c r="W27" s="47">
        <v>1</v>
      </c>
      <c r="X27" s="46">
        <v>1</v>
      </c>
      <c r="Y27" s="46">
        <v>1</v>
      </c>
      <c r="Z27" s="47">
        <v>1</v>
      </c>
      <c r="AA27" s="142" t="s">
        <v>38</v>
      </c>
      <c r="AB27" s="47"/>
      <c r="AC27" s="31">
        <f t="shared" si="17"/>
        <v>11</v>
      </c>
      <c r="AD27" s="34">
        <f t="shared" si="16"/>
        <v>278.08000000000004</v>
      </c>
      <c r="AE27" s="31">
        <f t="shared" si="3"/>
        <v>0</v>
      </c>
      <c r="AF27" s="31">
        <f t="shared" si="30"/>
        <v>0</v>
      </c>
      <c r="AG27" s="31">
        <v>33.18</v>
      </c>
      <c r="AH27" s="31">
        <f t="shared" si="15"/>
        <v>1</v>
      </c>
      <c r="AI27" s="31">
        <f t="shared" si="4"/>
        <v>33.18</v>
      </c>
      <c r="AJ27" s="79">
        <f t="shared" si="26"/>
        <v>0</v>
      </c>
      <c r="AK27" s="34">
        <f t="shared" si="18"/>
        <v>0</v>
      </c>
      <c r="AL27" s="80"/>
      <c r="AM27" s="34">
        <f t="shared" si="5"/>
        <v>0</v>
      </c>
      <c r="AN27" s="79">
        <v>0</v>
      </c>
      <c r="AO27" s="34">
        <f t="shared" si="19"/>
        <v>0</v>
      </c>
      <c r="AP27" s="34"/>
      <c r="AQ27" s="34"/>
      <c r="AR27" s="31"/>
      <c r="AS27" s="31"/>
      <c r="AT27" s="34">
        <f t="shared" si="6"/>
        <v>311.26000000000005</v>
      </c>
      <c r="AU27" s="34">
        <f t="shared" si="7"/>
        <v>30.347850000000005</v>
      </c>
      <c r="AV27" s="34">
        <f t="shared" si="8"/>
        <v>3.8907500000000006</v>
      </c>
      <c r="AW27" s="34"/>
      <c r="AX27" s="34"/>
      <c r="AY27" s="34">
        <v>2.5</v>
      </c>
      <c r="AZ27" s="34"/>
      <c r="BA27" s="34">
        <f t="shared" si="9"/>
        <v>36.738600000000005</v>
      </c>
      <c r="BB27" s="34">
        <f t="shared" si="10"/>
        <v>274.52140000000003</v>
      </c>
      <c r="BC27" s="81"/>
      <c r="BD27" s="34">
        <f t="shared" si="11"/>
        <v>33.628871500000002</v>
      </c>
      <c r="BE27" s="34">
        <f t="shared" si="12"/>
        <v>4.1178210000000002</v>
      </c>
      <c r="BF27" s="165">
        <f t="shared" si="13"/>
        <v>5.7649494000000008</v>
      </c>
    </row>
    <row r="28" spans="1:154" s="83" customFormat="1" x14ac:dyDescent="0.3">
      <c r="A28" s="27">
        <v>20</v>
      </c>
      <c r="B28" s="28" t="s">
        <v>44</v>
      </c>
      <c r="C28" s="48" t="s">
        <v>45</v>
      </c>
      <c r="D28" s="167">
        <v>117259028</v>
      </c>
      <c r="E28" s="175" t="s">
        <v>250</v>
      </c>
      <c r="F28" s="44" t="s">
        <v>274</v>
      </c>
      <c r="G28" s="50" t="s">
        <v>227</v>
      </c>
      <c r="H28" s="10" t="s">
        <v>145</v>
      </c>
      <c r="I28" s="31" t="s">
        <v>46</v>
      </c>
      <c r="J28" s="30" t="s">
        <v>47</v>
      </c>
      <c r="K28" s="51" t="s">
        <v>265</v>
      </c>
      <c r="L28" s="42">
        <v>657.28</v>
      </c>
      <c r="M28" s="42">
        <f t="shared" ref="M28" si="33">L28/26</f>
        <v>25.279999999999998</v>
      </c>
      <c r="N28" s="46"/>
      <c r="O28" s="46">
        <v>1</v>
      </c>
      <c r="P28" s="46">
        <v>1</v>
      </c>
      <c r="Q28" s="46"/>
      <c r="R28" s="46">
        <v>1</v>
      </c>
      <c r="S28" s="46">
        <v>1</v>
      </c>
      <c r="T28" s="143" t="s">
        <v>38</v>
      </c>
      <c r="U28" s="46"/>
      <c r="V28" s="46">
        <v>1</v>
      </c>
      <c r="W28" s="46">
        <v>1</v>
      </c>
      <c r="X28" s="46">
        <v>1</v>
      </c>
      <c r="Y28" s="47">
        <v>1</v>
      </c>
      <c r="Z28" s="47">
        <v>1</v>
      </c>
      <c r="AA28" s="141" t="s">
        <v>38</v>
      </c>
      <c r="AB28" s="47">
        <v>1</v>
      </c>
      <c r="AC28" s="31">
        <f t="shared" si="17"/>
        <v>10</v>
      </c>
      <c r="AD28" s="34">
        <f t="shared" si="16"/>
        <v>252.79999999999998</v>
      </c>
      <c r="AE28" s="31">
        <f t="shared" si="3"/>
        <v>0</v>
      </c>
      <c r="AF28" s="31">
        <f t="shared" si="30"/>
        <v>0</v>
      </c>
      <c r="AG28" s="31">
        <v>33.18</v>
      </c>
      <c r="AH28" s="31">
        <f t="shared" si="15"/>
        <v>2</v>
      </c>
      <c r="AI28" s="31">
        <f t="shared" si="4"/>
        <v>66.36</v>
      </c>
      <c r="AJ28" s="79">
        <f t="shared" si="26"/>
        <v>0</v>
      </c>
      <c r="AK28" s="34">
        <f t="shared" si="18"/>
        <v>0</v>
      </c>
      <c r="AL28" s="80"/>
      <c r="AM28" s="34">
        <f t="shared" si="5"/>
        <v>0</v>
      </c>
      <c r="AN28" s="79">
        <v>0</v>
      </c>
      <c r="AO28" s="34">
        <f t="shared" si="19"/>
        <v>0</v>
      </c>
      <c r="AP28" s="34"/>
      <c r="AQ28" s="34"/>
      <c r="AR28" s="31"/>
      <c r="AS28" s="31"/>
      <c r="AT28" s="34">
        <f t="shared" si="6"/>
        <v>319.15999999999997</v>
      </c>
      <c r="AU28" s="34">
        <f t="shared" si="7"/>
        <v>31.118099999999998</v>
      </c>
      <c r="AV28" s="34">
        <f t="shared" si="8"/>
        <v>3.9894999999999996</v>
      </c>
      <c r="AW28" s="34"/>
      <c r="AX28" s="34"/>
      <c r="AY28" s="34">
        <v>5.5</v>
      </c>
      <c r="AZ28" s="34"/>
      <c r="BA28" s="34">
        <f t="shared" si="9"/>
        <v>40.607599999999998</v>
      </c>
      <c r="BB28" s="34">
        <f t="shared" si="10"/>
        <v>278.55239999999998</v>
      </c>
      <c r="BC28" s="81"/>
      <c r="BD28" s="34">
        <f t="shared" si="11"/>
        <v>34.122668999999995</v>
      </c>
      <c r="BE28" s="34">
        <f t="shared" si="12"/>
        <v>4.1782859999999999</v>
      </c>
      <c r="BF28" s="165">
        <f t="shared" si="13"/>
        <v>5.8496003999999999</v>
      </c>
    </row>
    <row r="29" spans="1:154" s="83" customFormat="1" x14ac:dyDescent="0.3">
      <c r="A29" s="27">
        <v>21</v>
      </c>
      <c r="B29" s="36" t="s">
        <v>44</v>
      </c>
      <c r="C29" s="48" t="s">
        <v>45</v>
      </c>
      <c r="D29" s="52">
        <v>115858375</v>
      </c>
      <c r="E29" s="176" t="s">
        <v>281</v>
      </c>
      <c r="F29" s="38" t="s">
        <v>77</v>
      </c>
      <c r="G29" s="50" t="s">
        <v>76</v>
      </c>
      <c r="H29" s="10" t="s">
        <v>145</v>
      </c>
      <c r="I29" s="31" t="s">
        <v>46</v>
      </c>
      <c r="J29" s="52" t="s">
        <v>287</v>
      </c>
      <c r="K29" s="51" t="s">
        <v>154</v>
      </c>
      <c r="L29" s="34">
        <v>657.28</v>
      </c>
      <c r="M29" s="34">
        <f t="shared" ref="M29" si="34">L29/26</f>
        <v>25.279999999999998</v>
      </c>
      <c r="N29" s="46">
        <v>1</v>
      </c>
      <c r="O29" s="46"/>
      <c r="P29" s="46">
        <v>1</v>
      </c>
      <c r="Q29" s="46"/>
      <c r="R29" s="46">
        <v>1</v>
      </c>
      <c r="S29" s="46">
        <v>1</v>
      </c>
      <c r="T29" s="143" t="s">
        <v>38</v>
      </c>
      <c r="U29" s="46"/>
      <c r="V29" s="46">
        <v>1</v>
      </c>
      <c r="W29" s="46">
        <v>1</v>
      </c>
      <c r="X29" s="46">
        <v>1</v>
      </c>
      <c r="Y29" s="47">
        <v>1</v>
      </c>
      <c r="Z29" s="47">
        <v>1</v>
      </c>
      <c r="AA29" s="141" t="s">
        <v>38</v>
      </c>
      <c r="AB29" s="47">
        <v>1</v>
      </c>
      <c r="AC29" s="31">
        <f t="shared" si="17"/>
        <v>10</v>
      </c>
      <c r="AD29" s="34">
        <f t="shared" si="16"/>
        <v>252.79999999999998</v>
      </c>
      <c r="AE29" s="31">
        <f t="shared" si="3"/>
        <v>0</v>
      </c>
      <c r="AF29" s="31">
        <f t="shared" si="30"/>
        <v>0</v>
      </c>
      <c r="AG29" s="31">
        <v>33.18</v>
      </c>
      <c r="AH29" s="31">
        <f t="shared" si="15"/>
        <v>2</v>
      </c>
      <c r="AI29" s="31">
        <f t="shared" si="4"/>
        <v>66.36</v>
      </c>
      <c r="AJ29" s="79">
        <f t="shared" si="26"/>
        <v>0</v>
      </c>
      <c r="AK29" s="34">
        <f t="shared" si="18"/>
        <v>0</v>
      </c>
      <c r="AL29" s="138"/>
      <c r="AM29" s="34">
        <f t="shared" si="5"/>
        <v>0</v>
      </c>
      <c r="AN29" s="79">
        <v>0</v>
      </c>
      <c r="AO29" s="34">
        <f t="shared" si="19"/>
        <v>0</v>
      </c>
      <c r="AP29" s="122"/>
      <c r="AQ29" s="122"/>
      <c r="AR29" s="44"/>
      <c r="AS29" s="44"/>
      <c r="AT29" s="34">
        <f t="shared" si="6"/>
        <v>319.15999999999997</v>
      </c>
      <c r="AU29" s="34">
        <f t="shared" si="7"/>
        <v>31.118099999999998</v>
      </c>
      <c r="AV29" s="34">
        <f t="shared" si="8"/>
        <v>3.9894999999999996</v>
      </c>
      <c r="AW29" s="122"/>
      <c r="AX29" s="122"/>
      <c r="AY29" s="34">
        <v>2.5</v>
      </c>
      <c r="AZ29" s="122"/>
      <c r="BA29" s="34">
        <f t="shared" si="9"/>
        <v>37.607599999999998</v>
      </c>
      <c r="BB29" s="34">
        <f t="shared" si="10"/>
        <v>281.55239999999998</v>
      </c>
      <c r="BC29" s="139"/>
      <c r="BD29" s="34">
        <f t="shared" si="11"/>
        <v>34.490168999999995</v>
      </c>
      <c r="BE29" s="34">
        <f t="shared" si="12"/>
        <v>4.2232859999999999</v>
      </c>
      <c r="BF29" s="165">
        <f t="shared" si="13"/>
        <v>5.9126003999999996</v>
      </c>
    </row>
    <row r="30" spans="1:154" s="83" customFormat="1" x14ac:dyDescent="0.3">
      <c r="A30" s="27">
        <v>22</v>
      </c>
      <c r="B30" s="36" t="s">
        <v>44</v>
      </c>
      <c r="C30" s="37" t="s">
        <v>45</v>
      </c>
      <c r="D30" s="107">
        <v>118942903</v>
      </c>
      <c r="E30" s="6" t="s">
        <v>282</v>
      </c>
      <c r="F30" s="38" t="s">
        <v>286</v>
      </c>
      <c r="G30" s="50" t="s">
        <v>278</v>
      </c>
      <c r="H30" s="31" t="s">
        <v>145</v>
      </c>
      <c r="I30" s="31" t="s">
        <v>46</v>
      </c>
      <c r="J30" s="52" t="s">
        <v>287</v>
      </c>
      <c r="K30" s="51">
        <v>46028</v>
      </c>
      <c r="L30" s="34">
        <v>657.28</v>
      </c>
      <c r="M30" s="34">
        <v>25.28</v>
      </c>
      <c r="N30" s="46"/>
      <c r="O30" s="46">
        <v>1</v>
      </c>
      <c r="P30" s="46">
        <v>1</v>
      </c>
      <c r="Q30" s="46"/>
      <c r="R30" s="46" t="s">
        <v>35</v>
      </c>
      <c r="S30" s="46"/>
      <c r="T30" s="143"/>
      <c r="U30" s="46">
        <v>1</v>
      </c>
      <c r="V30" s="46"/>
      <c r="W30" s="46"/>
      <c r="X30" s="46"/>
      <c r="Y30" s="47">
        <v>1</v>
      </c>
      <c r="Z30" s="47">
        <v>1</v>
      </c>
      <c r="AA30" s="141" t="s">
        <v>38</v>
      </c>
      <c r="AB30" s="47">
        <v>1</v>
      </c>
      <c r="AC30" s="31">
        <f t="shared" si="17"/>
        <v>6</v>
      </c>
      <c r="AD30" s="34">
        <f t="shared" si="16"/>
        <v>151.68</v>
      </c>
      <c r="AE30" s="31">
        <f t="shared" si="3"/>
        <v>0</v>
      </c>
      <c r="AF30" s="31">
        <f t="shared" si="30"/>
        <v>0</v>
      </c>
      <c r="AG30" s="31">
        <v>33.18</v>
      </c>
      <c r="AH30" s="31">
        <f t="shared" si="15"/>
        <v>1</v>
      </c>
      <c r="AI30" s="31">
        <f t="shared" si="4"/>
        <v>33.18</v>
      </c>
      <c r="AJ30" s="79">
        <f t="shared" si="26"/>
        <v>0</v>
      </c>
      <c r="AK30" s="34">
        <f t="shared" si="18"/>
        <v>0</v>
      </c>
      <c r="AL30" s="138"/>
      <c r="AM30" s="34">
        <f t="shared" si="5"/>
        <v>0</v>
      </c>
      <c r="AN30" s="79">
        <v>0</v>
      </c>
      <c r="AO30" s="34">
        <f t="shared" si="19"/>
        <v>0</v>
      </c>
      <c r="AP30" s="122"/>
      <c r="AQ30" s="122"/>
      <c r="AR30" s="44"/>
      <c r="AS30" s="44"/>
      <c r="AT30" s="34">
        <f t="shared" si="6"/>
        <v>184.86</v>
      </c>
      <c r="AU30" s="34">
        <f t="shared" si="7"/>
        <v>18.023850000000003</v>
      </c>
      <c r="AV30" s="34">
        <f t="shared" si="8"/>
        <v>2.3107500000000001</v>
      </c>
      <c r="AW30" s="122"/>
      <c r="AX30" s="122"/>
      <c r="AY30" s="34">
        <v>2.5</v>
      </c>
      <c r="AZ30" s="122"/>
      <c r="BA30" s="34">
        <f t="shared" si="9"/>
        <v>22.834600000000002</v>
      </c>
      <c r="BB30" s="34">
        <f t="shared" si="10"/>
        <v>162.02540000000002</v>
      </c>
      <c r="BC30" s="139"/>
      <c r="BD30" s="34">
        <f t="shared" si="11"/>
        <v>19.848111500000002</v>
      </c>
      <c r="BE30" s="34">
        <f t="shared" si="12"/>
        <v>2.4303810000000001</v>
      </c>
      <c r="BF30" s="165">
        <f t="shared" si="13"/>
        <v>3.4025334000000007</v>
      </c>
    </row>
    <row r="31" spans="1:154" s="83" customFormat="1" x14ac:dyDescent="0.3">
      <c r="A31" s="27">
        <v>23</v>
      </c>
      <c r="B31" s="28" t="s">
        <v>44</v>
      </c>
      <c r="C31" s="29" t="s">
        <v>45</v>
      </c>
      <c r="D31" s="167">
        <v>118994474</v>
      </c>
      <c r="E31" s="175" t="s">
        <v>289</v>
      </c>
      <c r="F31" s="38" t="s">
        <v>288</v>
      </c>
      <c r="G31" s="50" t="s">
        <v>279</v>
      </c>
      <c r="H31" s="10" t="s">
        <v>145</v>
      </c>
      <c r="I31" s="31" t="s">
        <v>46</v>
      </c>
      <c r="J31" s="52" t="s">
        <v>287</v>
      </c>
      <c r="K31" s="51" t="s">
        <v>292</v>
      </c>
      <c r="L31" s="42">
        <v>657.28</v>
      </c>
      <c r="M31" s="42">
        <f t="shared" ref="M31:M32" si="35">L31/26</f>
        <v>25.279999999999998</v>
      </c>
      <c r="N31" s="46"/>
      <c r="O31" s="46"/>
      <c r="P31" s="46"/>
      <c r="Q31" s="46"/>
      <c r="R31" s="46"/>
      <c r="S31" s="46"/>
      <c r="T31" s="143"/>
      <c r="U31" s="46"/>
      <c r="V31" s="46"/>
      <c r="W31" s="46"/>
      <c r="X31" s="46"/>
      <c r="Y31" s="47"/>
      <c r="Z31" s="47">
        <v>1</v>
      </c>
      <c r="AA31" s="141"/>
      <c r="AB31" s="47"/>
      <c r="AC31" s="31">
        <f t="shared" si="17"/>
        <v>1</v>
      </c>
      <c r="AD31" s="34">
        <f t="shared" si="16"/>
        <v>25.279999999999998</v>
      </c>
      <c r="AE31" s="31">
        <f t="shared" si="3"/>
        <v>0</v>
      </c>
      <c r="AF31" s="31">
        <f t="shared" si="30"/>
        <v>0</v>
      </c>
      <c r="AG31" s="31">
        <v>33.18</v>
      </c>
      <c r="AH31" s="31">
        <f t="shared" si="15"/>
        <v>0</v>
      </c>
      <c r="AI31" s="31">
        <f t="shared" si="4"/>
        <v>0</v>
      </c>
      <c r="AJ31" s="79">
        <f t="shared" si="26"/>
        <v>0</v>
      </c>
      <c r="AK31" s="34">
        <f t="shared" si="18"/>
        <v>0</v>
      </c>
      <c r="AL31" s="138"/>
      <c r="AM31" s="34">
        <f t="shared" si="5"/>
        <v>0</v>
      </c>
      <c r="AN31" s="79">
        <v>0</v>
      </c>
      <c r="AO31" s="34">
        <f t="shared" si="19"/>
        <v>0</v>
      </c>
      <c r="AP31" s="122"/>
      <c r="AQ31" s="122"/>
      <c r="AR31" s="44"/>
      <c r="AS31" s="44"/>
      <c r="AT31" s="34">
        <f t="shared" si="6"/>
        <v>25.279999999999998</v>
      </c>
      <c r="AU31" s="34">
        <f t="shared" si="7"/>
        <v>2.4647999999999999</v>
      </c>
      <c r="AV31" s="34">
        <f t="shared" si="8"/>
        <v>0.316</v>
      </c>
      <c r="AW31" s="122"/>
      <c r="AX31" s="122"/>
      <c r="AY31" s="34">
        <v>5.5</v>
      </c>
      <c r="AZ31" s="122"/>
      <c r="BA31" s="34">
        <f t="shared" si="9"/>
        <v>8.2807999999999993</v>
      </c>
      <c r="BB31" s="34">
        <f t="shared" si="10"/>
        <v>16.999199999999998</v>
      </c>
      <c r="BC31" s="139"/>
      <c r="BD31" s="34">
        <f t="shared" si="11"/>
        <v>2.0824019999999996</v>
      </c>
      <c r="BE31" s="34">
        <f t="shared" si="12"/>
        <v>0.25498799999999999</v>
      </c>
      <c r="BF31" s="165">
        <f t="shared" si="13"/>
        <v>0.3569832</v>
      </c>
    </row>
    <row r="32" spans="1:154" s="83" customFormat="1" x14ac:dyDescent="0.3">
      <c r="A32" s="27">
        <v>24</v>
      </c>
      <c r="B32" s="36" t="s">
        <v>44</v>
      </c>
      <c r="C32" s="29" t="s">
        <v>45</v>
      </c>
      <c r="D32" s="167">
        <v>118994656</v>
      </c>
      <c r="E32" s="175" t="s">
        <v>290</v>
      </c>
      <c r="F32" s="38" t="s">
        <v>291</v>
      </c>
      <c r="G32" s="50" t="s">
        <v>280</v>
      </c>
      <c r="H32" s="10" t="s">
        <v>145</v>
      </c>
      <c r="I32" s="31" t="s">
        <v>46</v>
      </c>
      <c r="J32" s="52" t="s">
        <v>287</v>
      </c>
      <c r="K32" s="51" t="s">
        <v>292</v>
      </c>
      <c r="L32" s="34">
        <v>657.28</v>
      </c>
      <c r="M32" s="34">
        <f t="shared" si="35"/>
        <v>25.279999999999998</v>
      </c>
      <c r="N32" s="46"/>
      <c r="O32" s="46"/>
      <c r="P32" s="46"/>
      <c r="Q32" s="46"/>
      <c r="R32" s="46"/>
      <c r="S32" s="46"/>
      <c r="T32" s="143"/>
      <c r="U32" s="46"/>
      <c r="V32" s="46"/>
      <c r="W32" s="46"/>
      <c r="X32" s="46"/>
      <c r="Y32" s="47"/>
      <c r="Z32" s="47">
        <v>1</v>
      </c>
      <c r="AA32" s="141"/>
      <c r="AB32" s="47"/>
      <c r="AC32" s="31">
        <f t="shared" si="17"/>
        <v>1</v>
      </c>
      <c r="AD32" s="34">
        <f t="shared" si="16"/>
        <v>25.279999999999998</v>
      </c>
      <c r="AE32" s="31">
        <f t="shared" si="3"/>
        <v>0</v>
      </c>
      <c r="AF32" s="31">
        <f t="shared" si="30"/>
        <v>0</v>
      </c>
      <c r="AG32" s="31">
        <v>33.18</v>
      </c>
      <c r="AH32" s="31">
        <f t="shared" si="15"/>
        <v>0</v>
      </c>
      <c r="AI32" s="31">
        <f t="shared" si="4"/>
        <v>0</v>
      </c>
      <c r="AJ32" s="79">
        <f t="shared" si="26"/>
        <v>0</v>
      </c>
      <c r="AK32" s="34">
        <f t="shared" si="18"/>
        <v>0</v>
      </c>
      <c r="AL32" s="138"/>
      <c r="AM32" s="34">
        <f t="shared" si="5"/>
        <v>0</v>
      </c>
      <c r="AN32" s="79">
        <v>0</v>
      </c>
      <c r="AO32" s="34">
        <f t="shared" si="19"/>
        <v>0</v>
      </c>
      <c r="AP32" s="122"/>
      <c r="AQ32" s="122"/>
      <c r="AR32" s="44"/>
      <c r="AS32" s="44"/>
      <c r="AT32" s="34">
        <f t="shared" si="6"/>
        <v>25.279999999999998</v>
      </c>
      <c r="AU32" s="34">
        <f t="shared" si="7"/>
        <v>2.4647999999999999</v>
      </c>
      <c r="AV32" s="34">
        <f t="shared" si="8"/>
        <v>0.316</v>
      </c>
      <c r="AW32" s="122"/>
      <c r="AX32" s="122"/>
      <c r="AY32" s="34">
        <v>5.5</v>
      </c>
      <c r="AZ32" s="122"/>
      <c r="BA32" s="34">
        <f t="shared" si="9"/>
        <v>8.2807999999999993</v>
      </c>
      <c r="BB32" s="34">
        <f t="shared" si="10"/>
        <v>16.999199999999998</v>
      </c>
      <c r="BC32" s="139"/>
      <c r="BD32" s="34">
        <f t="shared" si="11"/>
        <v>2.0824019999999996</v>
      </c>
      <c r="BE32" s="34">
        <f t="shared" si="12"/>
        <v>0.25498799999999999</v>
      </c>
      <c r="BF32" s="165">
        <f t="shared" si="13"/>
        <v>0.3569832</v>
      </c>
    </row>
    <row r="33" spans="1:154" s="78" customFormat="1" x14ac:dyDescent="0.3">
      <c r="A33" s="27">
        <v>25</v>
      </c>
      <c r="B33" s="36" t="s">
        <v>44</v>
      </c>
      <c r="C33" s="37" t="s">
        <v>45</v>
      </c>
      <c r="D33" s="52">
        <v>116545534</v>
      </c>
      <c r="E33" s="177" t="s">
        <v>82</v>
      </c>
      <c r="F33" s="31" t="s">
        <v>83</v>
      </c>
      <c r="G33" s="55" t="s">
        <v>80</v>
      </c>
      <c r="H33" s="10" t="s">
        <v>147</v>
      </c>
      <c r="I33" s="10" t="s">
        <v>48</v>
      </c>
      <c r="J33" s="40" t="s">
        <v>47</v>
      </c>
      <c r="K33" s="56" t="s">
        <v>163</v>
      </c>
      <c r="L33" s="34">
        <v>657.28</v>
      </c>
      <c r="M33" s="42">
        <v>25.28</v>
      </c>
      <c r="N33" s="57">
        <v>1</v>
      </c>
      <c r="O33" s="58"/>
      <c r="P33" s="58">
        <v>1</v>
      </c>
      <c r="Q33" s="57"/>
      <c r="R33" s="58">
        <v>1</v>
      </c>
      <c r="S33" s="57">
        <v>1</v>
      </c>
      <c r="T33" s="128" t="s">
        <v>38</v>
      </c>
      <c r="U33" s="57"/>
      <c r="V33" s="58">
        <v>1</v>
      </c>
      <c r="W33" s="57">
        <v>1</v>
      </c>
      <c r="X33" s="58"/>
      <c r="Y33" s="58"/>
      <c r="Z33" s="58"/>
      <c r="AA33" s="128" t="s">
        <v>38</v>
      </c>
      <c r="AB33" s="58">
        <v>1</v>
      </c>
      <c r="AC33" s="31">
        <f t="shared" si="17"/>
        <v>7</v>
      </c>
      <c r="AD33" s="34">
        <f t="shared" si="16"/>
        <v>176.96</v>
      </c>
      <c r="AE33" s="31">
        <f t="shared" si="3"/>
        <v>0</v>
      </c>
      <c r="AF33" s="31">
        <f t="shared" si="30"/>
        <v>0</v>
      </c>
      <c r="AG33" s="31">
        <v>33.18</v>
      </c>
      <c r="AH33" s="31">
        <f t="shared" si="15"/>
        <v>2</v>
      </c>
      <c r="AI33" s="31">
        <f t="shared" si="4"/>
        <v>66.36</v>
      </c>
      <c r="AJ33" s="79">
        <f t="shared" si="26"/>
        <v>0</v>
      </c>
      <c r="AK33" s="34">
        <f t="shared" si="18"/>
        <v>0</v>
      </c>
      <c r="AL33" s="80"/>
      <c r="AM33" s="34">
        <f t="shared" si="5"/>
        <v>0</v>
      </c>
      <c r="AN33" s="79">
        <v>0</v>
      </c>
      <c r="AO33" s="34">
        <f t="shared" si="19"/>
        <v>0</v>
      </c>
      <c r="AP33" s="34"/>
      <c r="AQ33" s="34"/>
      <c r="AR33" s="31"/>
      <c r="AS33" s="31"/>
      <c r="AT33" s="34">
        <f t="shared" si="6"/>
        <v>243.32</v>
      </c>
      <c r="AU33" s="34">
        <f t="shared" si="7"/>
        <v>23.723700000000001</v>
      </c>
      <c r="AV33" s="34">
        <f t="shared" si="8"/>
        <v>3.0415000000000001</v>
      </c>
      <c r="AW33" s="34"/>
      <c r="AX33" s="34"/>
      <c r="AY33" s="34">
        <v>0</v>
      </c>
      <c r="AZ33" s="34"/>
      <c r="BA33" s="34">
        <f t="shared" si="9"/>
        <v>26.7652</v>
      </c>
      <c r="BB33" s="34">
        <f t="shared" si="10"/>
        <v>216.5548</v>
      </c>
      <c r="BC33" s="81"/>
      <c r="BD33" s="34">
        <f t="shared" si="11"/>
        <v>26.527963</v>
      </c>
      <c r="BE33" s="34">
        <f t="shared" si="12"/>
        <v>3.2483219999999999</v>
      </c>
      <c r="BF33" s="165">
        <f t="shared" si="13"/>
        <v>4.5476508000000004</v>
      </c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/>
      <c r="DM33" s="82"/>
      <c r="DN33" s="82"/>
      <c r="DO33" s="82"/>
      <c r="DP33" s="82"/>
      <c r="DQ33" s="82"/>
      <c r="DR33" s="82"/>
      <c r="DS33" s="82"/>
      <c r="DT33" s="82"/>
      <c r="DU33" s="82"/>
      <c r="DV33" s="82"/>
      <c r="DW33" s="82"/>
      <c r="DX33" s="82"/>
      <c r="DY33" s="82"/>
      <c r="DZ33" s="82"/>
      <c r="EA33" s="82"/>
      <c r="EB33" s="82"/>
      <c r="EC33" s="82"/>
      <c r="ED33" s="82"/>
      <c r="EE33" s="82"/>
      <c r="EF33" s="82"/>
      <c r="EG33" s="82"/>
      <c r="EH33" s="82"/>
      <c r="EI33" s="82"/>
      <c r="EJ33" s="82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82"/>
      <c r="EV33" s="82"/>
      <c r="EW33" s="82"/>
      <c r="EX33" s="82"/>
    </row>
    <row r="34" spans="1:154" s="78" customFormat="1" x14ac:dyDescent="0.3">
      <c r="A34" s="27">
        <v>26</v>
      </c>
      <c r="B34" s="36" t="s">
        <v>44</v>
      </c>
      <c r="C34" s="37" t="s">
        <v>45</v>
      </c>
      <c r="D34" s="52">
        <v>115151821</v>
      </c>
      <c r="E34" s="177" t="s">
        <v>63</v>
      </c>
      <c r="F34" s="10" t="s">
        <v>49</v>
      </c>
      <c r="G34" s="59" t="s">
        <v>50</v>
      </c>
      <c r="H34" s="10" t="s">
        <v>147</v>
      </c>
      <c r="I34" s="10" t="s">
        <v>48</v>
      </c>
      <c r="J34" s="40" t="s">
        <v>47</v>
      </c>
      <c r="K34" s="41" t="s">
        <v>164</v>
      </c>
      <c r="L34" s="42">
        <v>657.28</v>
      </c>
      <c r="M34" s="42">
        <v>25.28</v>
      </c>
      <c r="N34" s="60"/>
      <c r="O34" s="58">
        <v>1</v>
      </c>
      <c r="P34" s="61">
        <v>1</v>
      </c>
      <c r="Q34" s="61">
        <v>1</v>
      </c>
      <c r="R34" s="60">
        <v>1</v>
      </c>
      <c r="S34" s="60">
        <v>1</v>
      </c>
      <c r="T34" s="129" t="s">
        <v>38</v>
      </c>
      <c r="U34" s="60">
        <v>1</v>
      </c>
      <c r="V34" s="60">
        <v>1</v>
      </c>
      <c r="W34" s="60">
        <v>1</v>
      </c>
      <c r="X34" s="61">
        <v>1</v>
      </c>
      <c r="Y34" s="61">
        <v>1</v>
      </c>
      <c r="Z34" s="61">
        <v>1</v>
      </c>
      <c r="AA34" s="129" t="s">
        <v>38</v>
      </c>
      <c r="AB34" s="58">
        <v>1</v>
      </c>
      <c r="AC34" s="31">
        <f t="shared" si="17"/>
        <v>12</v>
      </c>
      <c r="AD34" s="34">
        <f t="shared" si="16"/>
        <v>303.36</v>
      </c>
      <c r="AE34" s="31">
        <f t="shared" si="3"/>
        <v>0</v>
      </c>
      <c r="AF34" s="31">
        <f t="shared" si="30"/>
        <v>0</v>
      </c>
      <c r="AG34" s="31">
        <v>33.18</v>
      </c>
      <c r="AH34" s="31">
        <f t="shared" si="15"/>
        <v>2</v>
      </c>
      <c r="AI34" s="31">
        <f t="shared" si="4"/>
        <v>66.36</v>
      </c>
      <c r="AJ34" s="79">
        <f t="shared" si="26"/>
        <v>0</v>
      </c>
      <c r="AK34" s="34">
        <f t="shared" si="18"/>
        <v>0</v>
      </c>
      <c r="AL34" s="80"/>
      <c r="AM34" s="34">
        <f t="shared" si="5"/>
        <v>0</v>
      </c>
      <c r="AN34" s="79">
        <v>0</v>
      </c>
      <c r="AO34" s="34">
        <f t="shared" si="19"/>
        <v>0</v>
      </c>
      <c r="AP34" s="34"/>
      <c r="AQ34" s="34"/>
      <c r="AR34" s="31"/>
      <c r="AS34" s="31"/>
      <c r="AT34" s="34">
        <f t="shared" si="6"/>
        <v>369.72</v>
      </c>
      <c r="AU34" s="34">
        <f t="shared" si="7"/>
        <v>36.047700000000006</v>
      </c>
      <c r="AV34" s="34">
        <f t="shared" si="8"/>
        <v>4.6215000000000002</v>
      </c>
      <c r="AW34" s="34"/>
      <c r="AX34" s="34"/>
      <c r="AY34" s="34">
        <v>0</v>
      </c>
      <c r="AZ34" s="34"/>
      <c r="BA34" s="34">
        <f t="shared" si="9"/>
        <v>40.669200000000004</v>
      </c>
      <c r="BB34" s="34">
        <f t="shared" si="10"/>
        <v>329.05080000000004</v>
      </c>
      <c r="BC34" s="81"/>
      <c r="BD34" s="34">
        <f t="shared" si="11"/>
        <v>40.308723000000001</v>
      </c>
      <c r="BE34" s="34">
        <f t="shared" si="12"/>
        <v>4.9357620000000004</v>
      </c>
      <c r="BF34" s="165">
        <f t="shared" si="13"/>
        <v>6.910066800000001</v>
      </c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82"/>
      <c r="DP34" s="82"/>
      <c r="DQ34" s="82"/>
      <c r="DR34" s="82"/>
      <c r="DS34" s="82"/>
      <c r="DT34" s="82"/>
      <c r="DU34" s="82"/>
      <c r="DV34" s="82"/>
      <c r="DW34" s="82"/>
      <c r="DX34" s="82"/>
      <c r="DY34" s="82"/>
      <c r="DZ34" s="82"/>
      <c r="EA34" s="82"/>
      <c r="EB34" s="82"/>
      <c r="EC34" s="82"/>
      <c r="ED34" s="82"/>
      <c r="EE34" s="82"/>
      <c r="EF34" s="82"/>
      <c r="EG34" s="82"/>
      <c r="EH34" s="82"/>
      <c r="EI34" s="82"/>
      <c r="EJ34" s="82"/>
      <c r="EK34" s="82"/>
      <c r="EL34" s="82"/>
      <c r="EM34" s="82"/>
      <c r="EN34" s="82"/>
      <c r="EO34" s="82"/>
      <c r="EP34" s="82"/>
      <c r="EQ34" s="82"/>
      <c r="ER34" s="82"/>
      <c r="ES34" s="82"/>
      <c r="ET34" s="82"/>
      <c r="EU34" s="82"/>
      <c r="EV34" s="82"/>
      <c r="EW34" s="82"/>
      <c r="EX34" s="82"/>
    </row>
    <row r="35" spans="1:154" s="78" customFormat="1" x14ac:dyDescent="0.3">
      <c r="A35" s="27">
        <v>27</v>
      </c>
      <c r="B35" s="36" t="s">
        <v>44</v>
      </c>
      <c r="C35" s="37" t="s">
        <v>45</v>
      </c>
      <c r="D35" s="52">
        <v>118582543</v>
      </c>
      <c r="E35" s="177" t="s">
        <v>116</v>
      </c>
      <c r="F35" s="10" t="s">
        <v>115</v>
      </c>
      <c r="G35" s="59" t="s">
        <v>94</v>
      </c>
      <c r="H35" s="10" t="s">
        <v>147</v>
      </c>
      <c r="I35" s="10" t="s">
        <v>48</v>
      </c>
      <c r="J35" s="40" t="s">
        <v>47</v>
      </c>
      <c r="K35" s="41">
        <v>46267</v>
      </c>
      <c r="L35" s="42">
        <v>657.28</v>
      </c>
      <c r="M35" s="42">
        <v>25.28</v>
      </c>
      <c r="N35" s="60"/>
      <c r="O35" s="60"/>
      <c r="P35" s="61">
        <v>1</v>
      </c>
      <c r="Q35" s="61">
        <v>1</v>
      </c>
      <c r="R35" s="60">
        <v>1</v>
      </c>
      <c r="S35" s="60">
        <v>1</v>
      </c>
      <c r="T35" s="129"/>
      <c r="U35" s="60">
        <v>1</v>
      </c>
      <c r="V35" s="60"/>
      <c r="W35" s="60">
        <v>1</v>
      </c>
      <c r="X35" s="61"/>
      <c r="Y35" s="61">
        <v>1</v>
      </c>
      <c r="Z35" s="61"/>
      <c r="AA35" s="129"/>
      <c r="AB35" s="58">
        <v>1</v>
      </c>
      <c r="AC35" s="31">
        <f t="shared" si="17"/>
        <v>8</v>
      </c>
      <c r="AD35" s="34">
        <f t="shared" si="16"/>
        <v>202.24</v>
      </c>
      <c r="AE35" s="31">
        <f t="shared" si="3"/>
        <v>0</v>
      </c>
      <c r="AF35" s="31">
        <f t="shared" si="30"/>
        <v>0</v>
      </c>
      <c r="AG35" s="31">
        <v>33.18</v>
      </c>
      <c r="AH35" s="31">
        <f t="shared" si="15"/>
        <v>0</v>
      </c>
      <c r="AI35" s="31">
        <f t="shared" si="4"/>
        <v>0</v>
      </c>
      <c r="AJ35" s="79">
        <f t="shared" si="26"/>
        <v>0</v>
      </c>
      <c r="AK35" s="34">
        <f t="shared" si="18"/>
        <v>0</v>
      </c>
      <c r="AL35" s="80"/>
      <c r="AM35" s="34">
        <f t="shared" si="5"/>
        <v>0</v>
      </c>
      <c r="AN35" s="79">
        <v>0</v>
      </c>
      <c r="AO35" s="34">
        <f t="shared" si="19"/>
        <v>0</v>
      </c>
      <c r="AP35" s="34"/>
      <c r="AQ35" s="34"/>
      <c r="AR35" s="31"/>
      <c r="AS35" s="31"/>
      <c r="AT35" s="34">
        <f t="shared" si="6"/>
        <v>202.24</v>
      </c>
      <c r="AU35" s="34">
        <f t="shared" si="7"/>
        <v>19.718400000000003</v>
      </c>
      <c r="AV35" s="34">
        <f t="shared" si="8"/>
        <v>2.5280000000000005</v>
      </c>
      <c r="AW35" s="34"/>
      <c r="AX35" s="34"/>
      <c r="AY35" s="34">
        <v>0</v>
      </c>
      <c r="AZ35" s="34"/>
      <c r="BA35" s="34">
        <f t="shared" si="9"/>
        <v>22.246400000000001</v>
      </c>
      <c r="BB35" s="34">
        <f t="shared" si="10"/>
        <v>179.99360000000001</v>
      </c>
      <c r="BC35" s="81"/>
      <c r="BD35" s="34">
        <f t="shared" si="11"/>
        <v>22.049216000000001</v>
      </c>
      <c r="BE35" s="34">
        <f t="shared" si="12"/>
        <v>2.6999040000000001</v>
      </c>
      <c r="BF35" s="165">
        <f t="shared" si="13"/>
        <v>3.7798656000000004</v>
      </c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2"/>
      <c r="DE35" s="82"/>
      <c r="DF35" s="82"/>
      <c r="DG35" s="82"/>
      <c r="DH35" s="82"/>
      <c r="DI35" s="82"/>
      <c r="DJ35" s="82"/>
      <c r="DK35" s="82"/>
      <c r="DL35" s="82"/>
      <c r="DM35" s="82"/>
      <c r="DN35" s="82"/>
      <c r="DO35" s="82"/>
      <c r="DP35" s="82"/>
      <c r="DQ35" s="82"/>
      <c r="DR35" s="82"/>
      <c r="DS35" s="82"/>
      <c r="DT35" s="82"/>
      <c r="DU35" s="82"/>
      <c r="DV35" s="82"/>
      <c r="DW35" s="82"/>
      <c r="DX35" s="82"/>
      <c r="DY35" s="82"/>
      <c r="DZ35" s="82"/>
      <c r="EA35" s="82"/>
      <c r="EB35" s="82"/>
      <c r="EC35" s="82"/>
      <c r="ED35" s="82"/>
      <c r="EE35" s="82"/>
      <c r="EF35" s="82"/>
      <c r="EG35" s="82"/>
      <c r="EH35" s="82"/>
      <c r="EI35" s="82"/>
      <c r="EJ35" s="82"/>
      <c r="EK35" s="82"/>
      <c r="EL35" s="82"/>
      <c r="EM35" s="82"/>
      <c r="EN35" s="82"/>
      <c r="EO35" s="82"/>
      <c r="EP35" s="82"/>
      <c r="EQ35" s="82"/>
      <c r="ER35" s="82"/>
      <c r="ES35" s="82"/>
      <c r="ET35" s="82"/>
      <c r="EU35" s="82"/>
      <c r="EV35" s="82"/>
      <c r="EW35" s="82"/>
      <c r="EX35" s="82"/>
    </row>
    <row r="36" spans="1:154" s="78" customFormat="1" x14ac:dyDescent="0.3">
      <c r="A36" s="27">
        <v>28</v>
      </c>
      <c r="B36" s="36" t="s">
        <v>44</v>
      </c>
      <c r="C36" s="37" t="s">
        <v>45</v>
      </c>
      <c r="D36" s="52">
        <v>115240111</v>
      </c>
      <c r="E36" s="177" t="s">
        <v>62</v>
      </c>
      <c r="F36" s="10" t="s">
        <v>51</v>
      </c>
      <c r="G36" s="59" t="s">
        <v>52</v>
      </c>
      <c r="H36" s="10" t="s">
        <v>147</v>
      </c>
      <c r="I36" s="10" t="s">
        <v>48</v>
      </c>
      <c r="J36" s="40" t="s">
        <v>47</v>
      </c>
      <c r="K36" s="41" t="s">
        <v>164</v>
      </c>
      <c r="L36" s="42">
        <v>657.28</v>
      </c>
      <c r="M36" s="42">
        <v>25.28</v>
      </c>
      <c r="N36" s="60">
        <v>1</v>
      </c>
      <c r="O36" s="60"/>
      <c r="P36" s="60">
        <v>1</v>
      </c>
      <c r="Q36" s="60">
        <v>1</v>
      </c>
      <c r="R36" s="60">
        <v>1</v>
      </c>
      <c r="S36" s="60">
        <v>1</v>
      </c>
      <c r="T36" s="130" t="s">
        <v>38</v>
      </c>
      <c r="U36" s="60"/>
      <c r="V36" s="60">
        <v>1</v>
      </c>
      <c r="W36" s="60">
        <v>1</v>
      </c>
      <c r="X36" s="60"/>
      <c r="Y36" s="60">
        <v>1</v>
      </c>
      <c r="Z36" s="60"/>
      <c r="AA36" s="129" t="s">
        <v>38</v>
      </c>
      <c r="AB36" s="58"/>
      <c r="AC36" s="31">
        <f t="shared" si="17"/>
        <v>8</v>
      </c>
      <c r="AD36" s="34">
        <f t="shared" si="16"/>
        <v>202.24</v>
      </c>
      <c r="AE36" s="31">
        <f t="shared" si="3"/>
        <v>0</v>
      </c>
      <c r="AF36" s="31">
        <f t="shared" si="30"/>
        <v>0</v>
      </c>
      <c r="AG36" s="31">
        <v>33.18</v>
      </c>
      <c r="AH36" s="31">
        <f t="shared" si="15"/>
        <v>2</v>
      </c>
      <c r="AI36" s="31">
        <f t="shared" si="4"/>
        <v>66.36</v>
      </c>
      <c r="AJ36" s="79">
        <f t="shared" si="26"/>
        <v>0</v>
      </c>
      <c r="AK36" s="34">
        <f t="shared" si="18"/>
        <v>0</v>
      </c>
      <c r="AL36" s="80"/>
      <c r="AM36" s="34">
        <f t="shared" si="5"/>
        <v>0</v>
      </c>
      <c r="AN36" s="79">
        <v>0</v>
      </c>
      <c r="AO36" s="34">
        <f t="shared" si="19"/>
        <v>0</v>
      </c>
      <c r="AP36" s="34"/>
      <c r="AQ36" s="34"/>
      <c r="AR36" s="31"/>
      <c r="AS36" s="31"/>
      <c r="AT36" s="34">
        <f t="shared" si="6"/>
        <v>268.60000000000002</v>
      </c>
      <c r="AU36" s="34">
        <f t="shared" si="7"/>
        <v>26.188500000000005</v>
      </c>
      <c r="AV36" s="34">
        <f t="shared" si="8"/>
        <v>3.3575000000000004</v>
      </c>
      <c r="AW36" s="34"/>
      <c r="AX36" s="34"/>
      <c r="AY36" s="34">
        <v>0</v>
      </c>
      <c r="AZ36" s="34"/>
      <c r="BA36" s="34">
        <f t="shared" si="9"/>
        <v>29.546000000000006</v>
      </c>
      <c r="BB36" s="34">
        <f t="shared" si="10"/>
        <v>239.05400000000003</v>
      </c>
      <c r="BC36" s="81"/>
      <c r="BD36" s="34">
        <f t="shared" si="11"/>
        <v>29.284115000000003</v>
      </c>
      <c r="BE36" s="34">
        <f t="shared" si="12"/>
        <v>3.5858100000000004</v>
      </c>
      <c r="BF36" s="165">
        <f t="shared" si="13"/>
        <v>5.0201340000000005</v>
      </c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82"/>
      <c r="DT36" s="82"/>
      <c r="DU36" s="82"/>
      <c r="DV36" s="82"/>
      <c r="DW36" s="82"/>
      <c r="DX36" s="82"/>
      <c r="DY36" s="82"/>
      <c r="DZ36" s="82"/>
      <c r="EA36" s="82"/>
      <c r="EB36" s="82"/>
      <c r="EC36" s="82"/>
      <c r="ED36" s="82"/>
      <c r="EE36" s="82"/>
      <c r="EF36" s="82"/>
      <c r="EG36" s="82"/>
      <c r="EH36" s="82"/>
      <c r="EI36" s="82"/>
      <c r="EJ36" s="82"/>
      <c r="EK36" s="82"/>
      <c r="EL36" s="82"/>
      <c r="EM36" s="82"/>
      <c r="EN36" s="82"/>
      <c r="EO36" s="82"/>
      <c r="EP36" s="82"/>
      <c r="EQ36" s="82"/>
      <c r="ER36" s="82"/>
      <c r="ES36" s="82"/>
      <c r="ET36" s="82"/>
      <c r="EU36" s="82"/>
      <c r="EV36" s="82"/>
      <c r="EW36" s="82"/>
      <c r="EX36" s="82"/>
    </row>
    <row r="37" spans="1:154" s="78" customFormat="1" x14ac:dyDescent="0.3">
      <c r="A37" s="27">
        <v>29</v>
      </c>
      <c r="B37" s="36" t="s">
        <v>44</v>
      </c>
      <c r="C37" s="37" t="s">
        <v>45</v>
      </c>
      <c r="D37" s="52">
        <v>116551672</v>
      </c>
      <c r="E37" s="178" t="s">
        <v>160</v>
      </c>
      <c r="F37" s="7" t="s">
        <v>161</v>
      </c>
      <c r="G37" s="55" t="s">
        <v>146</v>
      </c>
      <c r="H37" s="10" t="s">
        <v>147</v>
      </c>
      <c r="I37" s="10" t="s">
        <v>48</v>
      </c>
      <c r="J37" s="40" t="s">
        <v>47</v>
      </c>
      <c r="K37" s="41" t="s">
        <v>166</v>
      </c>
      <c r="L37" s="42">
        <v>657.28</v>
      </c>
      <c r="M37" s="42">
        <v>25.28</v>
      </c>
      <c r="N37" s="60"/>
      <c r="O37" s="60">
        <v>1</v>
      </c>
      <c r="P37" s="60"/>
      <c r="Q37" s="61">
        <v>1</v>
      </c>
      <c r="R37" s="61">
        <v>1</v>
      </c>
      <c r="S37" s="61">
        <v>1</v>
      </c>
      <c r="T37" s="129"/>
      <c r="U37" s="60">
        <v>1</v>
      </c>
      <c r="V37" s="64"/>
      <c r="W37" s="61">
        <v>1</v>
      </c>
      <c r="X37" s="61"/>
      <c r="Y37" s="61">
        <v>1</v>
      </c>
      <c r="Z37" s="61"/>
      <c r="AA37" s="129" t="s">
        <v>38</v>
      </c>
      <c r="AB37" s="58">
        <v>1</v>
      </c>
      <c r="AC37" s="31">
        <f t="shared" si="17"/>
        <v>8</v>
      </c>
      <c r="AD37" s="34">
        <f t="shared" si="16"/>
        <v>202.24</v>
      </c>
      <c r="AE37" s="31">
        <f t="shared" si="3"/>
        <v>0</v>
      </c>
      <c r="AF37" s="31">
        <f t="shared" si="30"/>
        <v>0</v>
      </c>
      <c r="AG37" s="31">
        <v>33.18</v>
      </c>
      <c r="AH37" s="31">
        <f t="shared" si="15"/>
        <v>1</v>
      </c>
      <c r="AI37" s="31">
        <f t="shared" si="4"/>
        <v>33.18</v>
      </c>
      <c r="AJ37" s="79">
        <f t="shared" si="26"/>
        <v>0</v>
      </c>
      <c r="AK37" s="34">
        <f t="shared" si="18"/>
        <v>0</v>
      </c>
      <c r="AL37" s="80"/>
      <c r="AM37" s="34">
        <f t="shared" si="5"/>
        <v>0</v>
      </c>
      <c r="AN37" s="79">
        <v>0</v>
      </c>
      <c r="AO37" s="34">
        <f t="shared" si="19"/>
        <v>0</v>
      </c>
      <c r="AP37" s="34"/>
      <c r="AQ37" s="34"/>
      <c r="AR37" s="31"/>
      <c r="AS37" s="31"/>
      <c r="AT37" s="34">
        <f t="shared" si="6"/>
        <v>235.42000000000002</v>
      </c>
      <c r="AU37" s="34">
        <f t="shared" si="7"/>
        <v>22.953450000000004</v>
      </c>
      <c r="AV37" s="34">
        <f t="shared" si="8"/>
        <v>2.9427500000000002</v>
      </c>
      <c r="AW37" s="34"/>
      <c r="AX37" s="34"/>
      <c r="AY37" s="34">
        <v>0</v>
      </c>
      <c r="AZ37" s="34"/>
      <c r="BA37" s="34">
        <f t="shared" si="9"/>
        <v>25.896200000000004</v>
      </c>
      <c r="BB37" s="34">
        <f t="shared" si="10"/>
        <v>209.52380000000002</v>
      </c>
      <c r="BC37" s="81"/>
      <c r="BD37" s="34">
        <f t="shared" si="11"/>
        <v>25.666665500000001</v>
      </c>
      <c r="BE37" s="34">
        <f t="shared" si="12"/>
        <v>3.1428570000000002</v>
      </c>
      <c r="BF37" s="165">
        <f t="shared" si="13"/>
        <v>4.3999998000000007</v>
      </c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2"/>
      <c r="DE37" s="82"/>
      <c r="DF37" s="82"/>
      <c r="DG37" s="82"/>
      <c r="DH37" s="82"/>
      <c r="DI37" s="82"/>
      <c r="DJ37" s="82"/>
      <c r="DK37" s="82"/>
      <c r="DL37" s="82"/>
      <c r="DM37" s="82"/>
      <c r="DN37" s="82"/>
      <c r="DO37" s="82"/>
      <c r="DP37" s="82"/>
      <c r="DQ37" s="82"/>
      <c r="DR37" s="82"/>
      <c r="DS37" s="82"/>
      <c r="DT37" s="82"/>
      <c r="DU37" s="82"/>
      <c r="DV37" s="82"/>
      <c r="DW37" s="82"/>
      <c r="DX37" s="82"/>
      <c r="DY37" s="82"/>
      <c r="DZ37" s="82"/>
      <c r="EA37" s="82"/>
      <c r="EB37" s="82"/>
      <c r="EC37" s="82"/>
      <c r="ED37" s="82"/>
      <c r="EE37" s="82"/>
      <c r="EF37" s="82"/>
      <c r="EG37" s="82"/>
      <c r="EH37" s="82"/>
      <c r="EI37" s="82"/>
      <c r="EJ37" s="82"/>
      <c r="EK37" s="82"/>
      <c r="EL37" s="82"/>
      <c r="EM37" s="82"/>
      <c r="EN37" s="82"/>
      <c r="EO37" s="82"/>
      <c r="EP37" s="82"/>
      <c r="EQ37" s="82"/>
      <c r="ER37" s="82"/>
      <c r="ES37" s="82"/>
      <c r="ET37" s="82"/>
      <c r="EU37" s="82"/>
      <c r="EV37" s="82"/>
      <c r="EW37" s="82"/>
      <c r="EX37" s="82"/>
    </row>
    <row r="38" spans="1:154" s="78" customFormat="1" x14ac:dyDescent="0.3">
      <c r="A38" s="27">
        <v>30</v>
      </c>
      <c r="B38" s="36" t="s">
        <v>44</v>
      </c>
      <c r="C38" s="37" t="s">
        <v>45</v>
      </c>
      <c r="D38" s="53">
        <v>118582568</v>
      </c>
      <c r="E38" s="177" t="s">
        <v>111</v>
      </c>
      <c r="F38" s="10" t="s">
        <v>112</v>
      </c>
      <c r="G38" s="55" t="s">
        <v>93</v>
      </c>
      <c r="H38" s="10" t="s">
        <v>147</v>
      </c>
      <c r="I38" s="10" t="s">
        <v>48</v>
      </c>
      <c r="J38" s="40" t="s">
        <v>47</v>
      </c>
      <c r="K38" s="41">
        <v>46267</v>
      </c>
      <c r="L38" s="42">
        <v>657.28</v>
      </c>
      <c r="M38" s="42">
        <v>25.28</v>
      </c>
      <c r="N38" s="60"/>
      <c r="O38" s="60">
        <v>1</v>
      </c>
      <c r="P38" s="60"/>
      <c r="Q38" s="61"/>
      <c r="R38" s="61">
        <v>1</v>
      </c>
      <c r="S38" s="61">
        <v>1</v>
      </c>
      <c r="T38" s="129"/>
      <c r="U38" s="60">
        <v>1</v>
      </c>
      <c r="V38" s="64"/>
      <c r="W38" s="61">
        <v>1</v>
      </c>
      <c r="X38" s="61"/>
      <c r="Y38" s="61">
        <v>1</v>
      </c>
      <c r="Z38" s="61">
        <v>1</v>
      </c>
      <c r="AA38" s="129" t="s">
        <v>38</v>
      </c>
      <c r="AB38" s="58">
        <v>1</v>
      </c>
      <c r="AC38" s="31">
        <f t="shared" si="17"/>
        <v>8</v>
      </c>
      <c r="AD38" s="34">
        <f t="shared" si="16"/>
        <v>202.24</v>
      </c>
      <c r="AE38" s="31">
        <f t="shared" si="3"/>
        <v>0</v>
      </c>
      <c r="AF38" s="31">
        <f t="shared" si="30"/>
        <v>0</v>
      </c>
      <c r="AG38" s="31">
        <v>33.18</v>
      </c>
      <c r="AH38" s="31">
        <f t="shared" si="15"/>
        <v>1</v>
      </c>
      <c r="AI38" s="31">
        <f t="shared" si="4"/>
        <v>33.18</v>
      </c>
      <c r="AJ38" s="79">
        <f t="shared" si="26"/>
        <v>0</v>
      </c>
      <c r="AK38" s="34">
        <f t="shared" si="18"/>
        <v>0</v>
      </c>
      <c r="AL38" s="80"/>
      <c r="AM38" s="34">
        <f t="shared" si="5"/>
        <v>0</v>
      </c>
      <c r="AN38" s="79">
        <v>0</v>
      </c>
      <c r="AO38" s="34">
        <f t="shared" si="19"/>
        <v>0</v>
      </c>
      <c r="AP38" s="34"/>
      <c r="AQ38" s="34"/>
      <c r="AR38" s="31"/>
      <c r="AS38" s="31"/>
      <c r="AT38" s="34">
        <f t="shared" si="6"/>
        <v>235.42000000000002</v>
      </c>
      <c r="AU38" s="34">
        <f t="shared" si="7"/>
        <v>22.953450000000004</v>
      </c>
      <c r="AV38" s="34">
        <f t="shared" si="8"/>
        <v>2.9427500000000002</v>
      </c>
      <c r="AW38" s="34"/>
      <c r="AX38" s="34"/>
      <c r="AY38" s="34">
        <v>0</v>
      </c>
      <c r="AZ38" s="34"/>
      <c r="BA38" s="34">
        <f t="shared" si="9"/>
        <v>25.896200000000004</v>
      </c>
      <c r="BB38" s="34">
        <f t="shared" si="10"/>
        <v>209.52380000000002</v>
      </c>
      <c r="BC38" s="81"/>
      <c r="BD38" s="34">
        <f t="shared" si="11"/>
        <v>25.666665500000001</v>
      </c>
      <c r="BE38" s="34">
        <f t="shared" si="12"/>
        <v>3.1428570000000002</v>
      </c>
      <c r="BF38" s="165">
        <f t="shared" si="13"/>
        <v>4.3999998000000007</v>
      </c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/>
      <c r="DA38" s="82"/>
      <c r="DB38" s="82"/>
      <c r="DC38" s="82"/>
      <c r="DD38" s="82"/>
      <c r="DE38" s="82"/>
      <c r="DF38" s="82"/>
      <c r="DG38" s="82"/>
      <c r="DH38" s="82"/>
      <c r="DI38" s="82"/>
      <c r="DJ38" s="82"/>
      <c r="DK38" s="82"/>
      <c r="DL38" s="82"/>
      <c r="DM38" s="82"/>
      <c r="DN38" s="82"/>
      <c r="DO38" s="82"/>
      <c r="DP38" s="82"/>
      <c r="DQ38" s="82"/>
      <c r="DR38" s="82"/>
      <c r="DS38" s="82"/>
      <c r="DT38" s="82"/>
      <c r="DU38" s="82"/>
      <c r="DV38" s="82"/>
      <c r="DW38" s="82"/>
      <c r="DX38" s="82"/>
      <c r="DY38" s="82"/>
      <c r="DZ38" s="82"/>
      <c r="EA38" s="82"/>
      <c r="EB38" s="82"/>
      <c r="EC38" s="82"/>
      <c r="ED38" s="82"/>
      <c r="EE38" s="82"/>
      <c r="EF38" s="82"/>
      <c r="EG38" s="82"/>
      <c r="EH38" s="82"/>
      <c r="EI38" s="82"/>
      <c r="EJ38" s="82"/>
      <c r="EK38" s="82"/>
      <c r="EL38" s="82"/>
      <c r="EM38" s="82"/>
      <c r="EN38" s="82"/>
      <c r="EO38" s="82"/>
      <c r="EP38" s="82"/>
      <c r="EQ38" s="82"/>
      <c r="ER38" s="82"/>
      <c r="ES38" s="82"/>
      <c r="ET38" s="82"/>
      <c r="EU38" s="82"/>
      <c r="EV38" s="82"/>
      <c r="EW38" s="82"/>
      <c r="EX38" s="82"/>
    </row>
    <row r="39" spans="1:154" s="78" customFormat="1" ht="15" customHeight="1" x14ac:dyDescent="0.3">
      <c r="A39" s="27">
        <v>31</v>
      </c>
      <c r="B39" s="36" t="s">
        <v>44</v>
      </c>
      <c r="C39" s="37" t="s">
        <v>45</v>
      </c>
      <c r="D39" s="119">
        <v>115058513</v>
      </c>
      <c r="E39" s="177" t="s">
        <v>61</v>
      </c>
      <c r="F39" s="10" t="s">
        <v>53</v>
      </c>
      <c r="G39" s="59" t="s">
        <v>54</v>
      </c>
      <c r="H39" s="10" t="s">
        <v>147</v>
      </c>
      <c r="I39" s="10" t="s">
        <v>48</v>
      </c>
      <c r="J39" s="40" t="s">
        <v>47</v>
      </c>
      <c r="K39" s="41" t="s">
        <v>165</v>
      </c>
      <c r="L39" s="42">
        <v>657.28</v>
      </c>
      <c r="M39" s="42">
        <v>25.28</v>
      </c>
      <c r="N39" s="60" t="s">
        <v>59</v>
      </c>
      <c r="O39" s="60" t="s">
        <v>59</v>
      </c>
      <c r="P39" s="60"/>
      <c r="Q39" s="61">
        <v>1</v>
      </c>
      <c r="R39" s="61"/>
      <c r="S39" s="61">
        <v>1</v>
      </c>
      <c r="T39" s="129"/>
      <c r="U39" s="60">
        <v>1</v>
      </c>
      <c r="V39" s="64"/>
      <c r="W39" s="61">
        <v>1</v>
      </c>
      <c r="X39" s="61">
        <v>1</v>
      </c>
      <c r="Y39" s="61">
        <v>1</v>
      </c>
      <c r="Z39" s="61">
        <v>1</v>
      </c>
      <c r="AA39" s="129" t="s">
        <v>38</v>
      </c>
      <c r="AB39" s="58">
        <v>1</v>
      </c>
      <c r="AC39" s="31">
        <f t="shared" si="17"/>
        <v>8</v>
      </c>
      <c r="AD39" s="34">
        <f t="shared" si="16"/>
        <v>202.24</v>
      </c>
      <c r="AE39" s="31">
        <f t="shared" si="3"/>
        <v>0</v>
      </c>
      <c r="AF39" s="31">
        <f t="shared" si="30"/>
        <v>0</v>
      </c>
      <c r="AG39" s="31">
        <v>33.18</v>
      </c>
      <c r="AH39" s="31">
        <f t="shared" si="15"/>
        <v>1</v>
      </c>
      <c r="AI39" s="31">
        <f t="shared" si="4"/>
        <v>33.18</v>
      </c>
      <c r="AJ39" s="79">
        <f t="shared" si="26"/>
        <v>2</v>
      </c>
      <c r="AK39" s="34">
        <f t="shared" si="18"/>
        <v>50.56</v>
      </c>
      <c r="AL39" s="80"/>
      <c r="AM39" s="34">
        <f t="shared" si="5"/>
        <v>0</v>
      </c>
      <c r="AN39" s="79">
        <v>0</v>
      </c>
      <c r="AO39" s="34">
        <f t="shared" si="19"/>
        <v>0</v>
      </c>
      <c r="AP39" s="34"/>
      <c r="AQ39" s="34"/>
      <c r="AR39" s="31"/>
      <c r="AS39" s="31"/>
      <c r="AT39" s="34">
        <f t="shared" si="6"/>
        <v>285.98</v>
      </c>
      <c r="AU39" s="34">
        <f t="shared" si="7"/>
        <v>27.883050000000004</v>
      </c>
      <c r="AV39" s="34">
        <f t="shared" si="8"/>
        <v>3.5747500000000003</v>
      </c>
      <c r="AW39" s="34"/>
      <c r="AX39" s="34"/>
      <c r="AY39" s="34">
        <v>0</v>
      </c>
      <c r="AZ39" s="34"/>
      <c r="BA39" s="34">
        <f t="shared" si="9"/>
        <v>31.457800000000006</v>
      </c>
      <c r="BB39" s="34">
        <f t="shared" si="10"/>
        <v>254.5222</v>
      </c>
      <c r="BC39" s="81"/>
      <c r="BD39" s="34">
        <f t="shared" si="11"/>
        <v>31.178969500000001</v>
      </c>
      <c r="BE39" s="34">
        <f t="shared" si="12"/>
        <v>3.8178329999999998</v>
      </c>
      <c r="BF39" s="165">
        <f t="shared" si="13"/>
        <v>5.3449662</v>
      </c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D39" s="82"/>
      <c r="DE39" s="82"/>
      <c r="DF39" s="82"/>
      <c r="DG39" s="82"/>
      <c r="DH39" s="82"/>
      <c r="DI39" s="82"/>
      <c r="DJ39" s="82"/>
      <c r="DK39" s="82"/>
      <c r="DL39" s="82"/>
      <c r="DM39" s="82"/>
      <c r="DN39" s="82"/>
      <c r="DO39" s="82"/>
      <c r="DP39" s="82"/>
      <c r="DQ39" s="82"/>
      <c r="DR39" s="82"/>
      <c r="DS39" s="82"/>
      <c r="DT39" s="82"/>
      <c r="DU39" s="82"/>
      <c r="DV39" s="82"/>
      <c r="DW39" s="82"/>
      <c r="DX39" s="82"/>
      <c r="DY39" s="82"/>
      <c r="DZ39" s="82"/>
      <c r="EA39" s="82"/>
      <c r="EB39" s="82"/>
      <c r="EC39" s="82"/>
      <c r="ED39" s="82"/>
      <c r="EE39" s="82"/>
      <c r="EF39" s="82"/>
      <c r="EG39" s="82"/>
      <c r="EH39" s="82"/>
      <c r="EI39" s="82"/>
      <c r="EJ39" s="82"/>
      <c r="EK39" s="82"/>
      <c r="EL39" s="82"/>
      <c r="EM39" s="82"/>
      <c r="EN39" s="82"/>
      <c r="EO39" s="82"/>
      <c r="EP39" s="82"/>
      <c r="EQ39" s="82"/>
      <c r="ER39" s="82"/>
      <c r="ES39" s="82"/>
      <c r="ET39" s="82"/>
      <c r="EU39" s="82"/>
      <c r="EV39" s="82"/>
      <c r="EW39" s="82"/>
      <c r="EX39" s="82"/>
    </row>
    <row r="40" spans="1:154" s="78" customFormat="1" x14ac:dyDescent="0.3">
      <c r="A40" s="27">
        <v>32</v>
      </c>
      <c r="B40" s="36" t="s">
        <v>44</v>
      </c>
      <c r="C40" s="37" t="s">
        <v>45</v>
      </c>
      <c r="D40" s="53">
        <v>118582535</v>
      </c>
      <c r="E40" s="177" t="s">
        <v>105</v>
      </c>
      <c r="F40" s="10" t="s">
        <v>106</v>
      </c>
      <c r="G40" s="55" t="s">
        <v>95</v>
      </c>
      <c r="H40" s="10" t="s">
        <v>147</v>
      </c>
      <c r="I40" s="10" t="s">
        <v>48</v>
      </c>
      <c r="J40" s="40" t="s">
        <v>47</v>
      </c>
      <c r="K40" s="41">
        <v>46267</v>
      </c>
      <c r="L40" s="42">
        <v>657.28</v>
      </c>
      <c r="M40" s="42">
        <v>25.28</v>
      </c>
      <c r="N40" s="60"/>
      <c r="O40" s="60">
        <v>1</v>
      </c>
      <c r="P40" s="60">
        <v>1</v>
      </c>
      <c r="Q40" s="61"/>
      <c r="R40" s="61"/>
      <c r="S40" s="61">
        <v>1</v>
      </c>
      <c r="T40" s="129" t="s">
        <v>38</v>
      </c>
      <c r="U40" s="60"/>
      <c r="V40" s="64">
        <v>1</v>
      </c>
      <c r="W40" s="61"/>
      <c r="X40" s="61">
        <v>1</v>
      </c>
      <c r="Y40" s="61"/>
      <c r="Z40" s="61">
        <v>1</v>
      </c>
      <c r="AA40" s="129" t="s">
        <v>38</v>
      </c>
      <c r="AB40" s="58">
        <v>1</v>
      </c>
      <c r="AC40" s="31">
        <f t="shared" si="17"/>
        <v>7</v>
      </c>
      <c r="AD40" s="34">
        <f t="shared" si="16"/>
        <v>176.96</v>
      </c>
      <c r="AE40" s="31">
        <f t="shared" si="3"/>
        <v>0</v>
      </c>
      <c r="AF40" s="31">
        <f t="shared" si="30"/>
        <v>0</v>
      </c>
      <c r="AG40" s="31">
        <v>33.18</v>
      </c>
      <c r="AH40" s="31">
        <f t="shared" si="15"/>
        <v>2</v>
      </c>
      <c r="AI40" s="31">
        <f t="shared" si="4"/>
        <v>66.36</v>
      </c>
      <c r="AJ40" s="79">
        <f t="shared" si="26"/>
        <v>0</v>
      </c>
      <c r="AK40" s="34">
        <f t="shared" si="18"/>
        <v>0</v>
      </c>
      <c r="AL40" s="80"/>
      <c r="AM40" s="34">
        <f t="shared" si="5"/>
        <v>0</v>
      </c>
      <c r="AN40" s="79">
        <v>0</v>
      </c>
      <c r="AO40" s="34">
        <f t="shared" si="19"/>
        <v>0</v>
      </c>
      <c r="AP40" s="34"/>
      <c r="AQ40" s="34"/>
      <c r="AR40" s="31"/>
      <c r="AS40" s="31"/>
      <c r="AT40" s="34">
        <f t="shared" si="6"/>
        <v>243.32</v>
      </c>
      <c r="AU40" s="34">
        <f t="shared" si="7"/>
        <v>23.723700000000001</v>
      </c>
      <c r="AV40" s="34">
        <f t="shared" si="8"/>
        <v>3.0415000000000001</v>
      </c>
      <c r="AW40" s="34"/>
      <c r="AX40" s="34"/>
      <c r="AY40" s="34">
        <v>0</v>
      </c>
      <c r="AZ40" s="34"/>
      <c r="BA40" s="34">
        <f t="shared" si="9"/>
        <v>26.7652</v>
      </c>
      <c r="BB40" s="34">
        <f t="shared" si="10"/>
        <v>216.5548</v>
      </c>
      <c r="BC40" s="81"/>
      <c r="BD40" s="34">
        <f t="shared" si="11"/>
        <v>26.527963</v>
      </c>
      <c r="BE40" s="34">
        <f t="shared" si="12"/>
        <v>3.2483219999999999</v>
      </c>
      <c r="BF40" s="165">
        <f t="shared" si="13"/>
        <v>4.5476508000000004</v>
      </c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2"/>
      <c r="DA40" s="82"/>
      <c r="DB40" s="82"/>
      <c r="DC40" s="82"/>
      <c r="DD40" s="82"/>
      <c r="DE40" s="82"/>
      <c r="DF40" s="82"/>
      <c r="DG40" s="82"/>
      <c r="DH40" s="82"/>
      <c r="DI40" s="82"/>
      <c r="DJ40" s="82"/>
      <c r="DK40" s="82"/>
      <c r="DL40" s="82"/>
      <c r="DM40" s="82"/>
      <c r="DN40" s="82"/>
      <c r="DO40" s="82"/>
      <c r="DP40" s="82"/>
      <c r="DQ40" s="82"/>
      <c r="DR40" s="82"/>
      <c r="DS40" s="82"/>
      <c r="DT40" s="82"/>
      <c r="DU40" s="82"/>
      <c r="DV40" s="82"/>
      <c r="DW40" s="82"/>
      <c r="DX40" s="82"/>
      <c r="DY40" s="82"/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82"/>
      <c r="EN40" s="82"/>
      <c r="EO40" s="82"/>
      <c r="EP40" s="82"/>
      <c r="EQ40" s="82"/>
      <c r="ER40" s="82"/>
      <c r="ES40" s="82"/>
      <c r="ET40" s="82"/>
      <c r="EU40" s="82"/>
      <c r="EV40" s="82"/>
      <c r="EW40" s="82"/>
      <c r="EX40" s="82"/>
    </row>
    <row r="41" spans="1:154" s="78" customFormat="1" x14ac:dyDescent="0.3">
      <c r="A41" s="27">
        <v>33</v>
      </c>
      <c r="B41" s="36" t="s">
        <v>44</v>
      </c>
      <c r="C41" s="37" t="s">
        <v>45</v>
      </c>
      <c r="D41" s="52">
        <v>116142985</v>
      </c>
      <c r="E41" s="177" t="s">
        <v>86</v>
      </c>
      <c r="F41" s="10" t="s">
        <v>87</v>
      </c>
      <c r="G41" s="35" t="s">
        <v>207</v>
      </c>
      <c r="H41" s="10" t="s">
        <v>147</v>
      </c>
      <c r="I41" s="10" t="s">
        <v>48</v>
      </c>
      <c r="J41" s="40" t="s">
        <v>47</v>
      </c>
      <c r="K41" s="41" t="s">
        <v>163</v>
      </c>
      <c r="L41" s="42">
        <v>657.28</v>
      </c>
      <c r="M41" s="42">
        <v>25.28</v>
      </c>
      <c r="N41" s="64"/>
      <c r="O41" s="60">
        <v>1</v>
      </c>
      <c r="P41" s="60">
        <v>1</v>
      </c>
      <c r="Q41" s="61"/>
      <c r="R41" s="61">
        <v>1</v>
      </c>
      <c r="S41" s="60">
        <v>1</v>
      </c>
      <c r="T41" s="129" t="s">
        <v>38</v>
      </c>
      <c r="U41" s="60"/>
      <c r="V41" s="61">
        <v>1</v>
      </c>
      <c r="W41" s="60"/>
      <c r="X41" s="61">
        <v>1</v>
      </c>
      <c r="Y41" s="61">
        <v>1</v>
      </c>
      <c r="Z41" s="60"/>
      <c r="AA41" s="129" t="s">
        <v>38</v>
      </c>
      <c r="AB41" s="58"/>
      <c r="AC41" s="31">
        <f t="shared" si="17"/>
        <v>7</v>
      </c>
      <c r="AD41" s="34">
        <f t="shared" si="16"/>
        <v>176.96</v>
      </c>
      <c r="AE41" s="31">
        <f t="shared" si="3"/>
        <v>0</v>
      </c>
      <c r="AF41" s="31">
        <f t="shared" si="30"/>
        <v>0</v>
      </c>
      <c r="AG41" s="31">
        <v>33.18</v>
      </c>
      <c r="AH41" s="31">
        <v>3</v>
      </c>
      <c r="AI41" s="31">
        <f t="shared" si="4"/>
        <v>99.539999999999992</v>
      </c>
      <c r="AJ41" s="79">
        <f t="shared" si="26"/>
        <v>0</v>
      </c>
      <c r="AK41" s="34">
        <f t="shared" si="18"/>
        <v>0</v>
      </c>
      <c r="AL41" s="80"/>
      <c r="AM41" s="34">
        <f t="shared" si="5"/>
        <v>0</v>
      </c>
      <c r="AN41" s="79">
        <v>0</v>
      </c>
      <c r="AO41" s="34">
        <f t="shared" si="19"/>
        <v>0</v>
      </c>
      <c r="AP41" s="34"/>
      <c r="AQ41" s="34"/>
      <c r="AR41" s="31"/>
      <c r="AS41" s="31"/>
      <c r="AT41" s="34">
        <f t="shared" si="6"/>
        <v>276.5</v>
      </c>
      <c r="AU41" s="34">
        <f t="shared" si="7"/>
        <v>26.958750000000002</v>
      </c>
      <c r="AV41" s="34">
        <f t="shared" si="8"/>
        <v>3.4562500000000003</v>
      </c>
      <c r="AW41" s="34"/>
      <c r="AX41" s="34"/>
      <c r="AY41" s="34">
        <v>0</v>
      </c>
      <c r="AZ41" s="34"/>
      <c r="BA41" s="34">
        <f t="shared" si="9"/>
        <v>30.415000000000003</v>
      </c>
      <c r="BB41" s="34">
        <f t="shared" si="10"/>
        <v>246.08500000000001</v>
      </c>
      <c r="BC41" s="81"/>
      <c r="BD41" s="34">
        <f t="shared" si="11"/>
        <v>30.145412499999999</v>
      </c>
      <c r="BE41" s="34">
        <f t="shared" si="12"/>
        <v>3.6912750000000001</v>
      </c>
      <c r="BF41" s="165">
        <f t="shared" si="13"/>
        <v>5.1677850000000003</v>
      </c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82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</row>
    <row r="42" spans="1:154" s="78" customFormat="1" x14ac:dyDescent="0.3">
      <c r="A42" s="27">
        <v>34</v>
      </c>
      <c r="B42" s="36" t="s">
        <v>44</v>
      </c>
      <c r="C42" s="37" t="s">
        <v>45</v>
      </c>
      <c r="D42" s="10">
        <v>118582550</v>
      </c>
      <c r="E42" s="10" t="s">
        <v>107</v>
      </c>
      <c r="F42" s="10" t="s">
        <v>108</v>
      </c>
      <c r="G42" s="55" t="s">
        <v>91</v>
      </c>
      <c r="H42" s="10" t="s">
        <v>147</v>
      </c>
      <c r="I42" s="10" t="s">
        <v>48</v>
      </c>
      <c r="J42" s="40" t="s">
        <v>47</v>
      </c>
      <c r="K42" s="41">
        <v>46267</v>
      </c>
      <c r="L42" s="42">
        <v>657.28</v>
      </c>
      <c r="M42" s="42">
        <v>25.28</v>
      </c>
      <c r="N42" s="64"/>
      <c r="O42" s="60"/>
      <c r="P42" s="60"/>
      <c r="Q42" s="61">
        <v>1</v>
      </c>
      <c r="R42" s="61"/>
      <c r="S42" s="60"/>
      <c r="T42" s="129" t="s">
        <v>38</v>
      </c>
      <c r="U42" s="60"/>
      <c r="V42" s="61">
        <v>1</v>
      </c>
      <c r="W42" s="60"/>
      <c r="X42" s="61">
        <v>1</v>
      </c>
      <c r="Y42" s="61">
        <v>1</v>
      </c>
      <c r="Z42" s="60"/>
      <c r="AA42" s="129" t="s">
        <v>38</v>
      </c>
      <c r="AB42" s="58">
        <v>1</v>
      </c>
      <c r="AC42" s="31">
        <f t="shared" si="17"/>
        <v>5</v>
      </c>
      <c r="AD42" s="34">
        <f t="shared" si="16"/>
        <v>126.4</v>
      </c>
      <c r="AE42" s="31">
        <f t="shared" si="3"/>
        <v>0</v>
      </c>
      <c r="AF42" s="31">
        <f t="shared" si="30"/>
        <v>0</v>
      </c>
      <c r="AG42" s="31">
        <v>33.18</v>
      </c>
      <c r="AH42" s="31">
        <f t="shared" si="15"/>
        <v>2</v>
      </c>
      <c r="AI42" s="31">
        <f t="shared" si="4"/>
        <v>66.36</v>
      </c>
      <c r="AJ42" s="79">
        <f t="shared" si="26"/>
        <v>0</v>
      </c>
      <c r="AK42" s="34">
        <f t="shared" si="18"/>
        <v>0</v>
      </c>
      <c r="AL42" s="80"/>
      <c r="AM42" s="34">
        <f t="shared" si="5"/>
        <v>0</v>
      </c>
      <c r="AN42" s="79">
        <v>0</v>
      </c>
      <c r="AO42" s="34">
        <f t="shared" si="19"/>
        <v>0</v>
      </c>
      <c r="AP42" s="34"/>
      <c r="AQ42" s="34"/>
      <c r="AR42" s="31"/>
      <c r="AS42" s="31"/>
      <c r="AT42" s="34">
        <f t="shared" si="6"/>
        <v>192.76</v>
      </c>
      <c r="AU42" s="34">
        <f t="shared" si="7"/>
        <v>18.7941</v>
      </c>
      <c r="AV42" s="34">
        <f t="shared" si="8"/>
        <v>2.4095</v>
      </c>
      <c r="AW42" s="34"/>
      <c r="AX42" s="34"/>
      <c r="AY42" s="34">
        <v>0</v>
      </c>
      <c r="AZ42" s="34"/>
      <c r="BA42" s="34">
        <f t="shared" si="9"/>
        <v>21.203600000000002</v>
      </c>
      <c r="BB42" s="34">
        <f t="shared" si="10"/>
        <v>171.5564</v>
      </c>
      <c r="BC42" s="81"/>
      <c r="BD42" s="34">
        <f t="shared" si="11"/>
        <v>21.015658999999999</v>
      </c>
      <c r="BE42" s="34">
        <f t="shared" si="12"/>
        <v>2.5733459999999999</v>
      </c>
      <c r="BF42" s="165">
        <f t="shared" si="13"/>
        <v>3.6026844000000002</v>
      </c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82"/>
      <c r="DT42" s="82"/>
      <c r="DU42" s="82"/>
      <c r="DV42" s="82"/>
      <c r="DW42" s="82"/>
      <c r="DX42" s="82"/>
      <c r="DY42" s="82"/>
      <c r="DZ42" s="82"/>
      <c r="EA42" s="82"/>
      <c r="EB42" s="82"/>
      <c r="EC42" s="82"/>
      <c r="ED42" s="82"/>
      <c r="EE42" s="82"/>
      <c r="EF42" s="82"/>
      <c r="EG42" s="82"/>
      <c r="EH42" s="82"/>
      <c r="EI42" s="82"/>
      <c r="EJ42" s="82"/>
      <c r="EK42" s="82"/>
      <c r="EL42" s="82"/>
      <c r="EM42" s="82"/>
      <c r="EN42" s="82"/>
      <c r="EO42" s="82"/>
      <c r="EP42" s="82"/>
      <c r="EQ42" s="82"/>
      <c r="ER42" s="82"/>
      <c r="ES42" s="82"/>
      <c r="ET42" s="82"/>
      <c r="EU42" s="82"/>
      <c r="EV42" s="82"/>
      <c r="EW42" s="82"/>
      <c r="EX42" s="82"/>
    </row>
    <row r="43" spans="1:154" s="78" customFormat="1" x14ac:dyDescent="0.3">
      <c r="A43" s="27">
        <v>35</v>
      </c>
      <c r="B43" s="36" t="s">
        <v>44</v>
      </c>
      <c r="C43" s="37" t="s">
        <v>45</v>
      </c>
      <c r="D43" s="30">
        <v>114280621</v>
      </c>
      <c r="E43" s="65" t="s">
        <v>172</v>
      </c>
      <c r="F43" s="38" t="s">
        <v>173</v>
      </c>
      <c r="G43" s="55" t="s">
        <v>208</v>
      </c>
      <c r="H43" s="10" t="s">
        <v>147</v>
      </c>
      <c r="I43" s="10" t="s">
        <v>48</v>
      </c>
      <c r="J43" s="40" t="s">
        <v>47</v>
      </c>
      <c r="K43" s="41" t="s">
        <v>166</v>
      </c>
      <c r="L43" s="42">
        <v>657.28</v>
      </c>
      <c r="M43" s="42">
        <v>25.28</v>
      </c>
      <c r="N43" s="64"/>
      <c r="O43" s="60">
        <v>1</v>
      </c>
      <c r="P43" s="60"/>
      <c r="Q43" s="61">
        <v>1</v>
      </c>
      <c r="R43" s="61">
        <v>1</v>
      </c>
      <c r="S43" s="60">
        <v>1</v>
      </c>
      <c r="T43" s="129"/>
      <c r="U43" s="60">
        <v>1</v>
      </c>
      <c r="V43" s="61"/>
      <c r="W43" s="60">
        <v>1</v>
      </c>
      <c r="X43" s="61"/>
      <c r="Y43" s="61">
        <v>1</v>
      </c>
      <c r="Z43" s="60"/>
      <c r="AA43" s="129" t="s">
        <v>38</v>
      </c>
      <c r="AB43" s="58"/>
      <c r="AC43" s="31">
        <f t="shared" si="17"/>
        <v>7</v>
      </c>
      <c r="AD43" s="34">
        <f t="shared" si="16"/>
        <v>176.96</v>
      </c>
      <c r="AE43" s="31">
        <f t="shared" si="3"/>
        <v>0</v>
      </c>
      <c r="AF43" s="31">
        <f t="shared" si="30"/>
        <v>0</v>
      </c>
      <c r="AG43" s="31">
        <v>33.18</v>
      </c>
      <c r="AH43" s="31">
        <f t="shared" si="15"/>
        <v>1</v>
      </c>
      <c r="AI43" s="31">
        <f t="shared" si="4"/>
        <v>33.18</v>
      </c>
      <c r="AJ43" s="79">
        <f t="shared" si="26"/>
        <v>0</v>
      </c>
      <c r="AK43" s="34">
        <f t="shared" si="18"/>
        <v>0</v>
      </c>
      <c r="AL43" s="80"/>
      <c r="AM43" s="34">
        <f t="shared" si="5"/>
        <v>0</v>
      </c>
      <c r="AN43" s="79">
        <v>0</v>
      </c>
      <c r="AO43" s="34">
        <f t="shared" si="19"/>
        <v>0</v>
      </c>
      <c r="AP43" s="34"/>
      <c r="AQ43" s="34"/>
      <c r="AR43" s="31"/>
      <c r="AS43" s="31"/>
      <c r="AT43" s="34">
        <f t="shared" si="6"/>
        <v>210.14000000000001</v>
      </c>
      <c r="AU43" s="34">
        <f t="shared" si="7"/>
        <v>20.488650000000003</v>
      </c>
      <c r="AV43" s="34">
        <f t="shared" si="8"/>
        <v>2.6267500000000004</v>
      </c>
      <c r="AW43" s="34"/>
      <c r="AX43" s="34"/>
      <c r="AY43" s="34">
        <v>0</v>
      </c>
      <c r="AZ43" s="34"/>
      <c r="BA43" s="34">
        <f t="shared" si="9"/>
        <v>23.115400000000005</v>
      </c>
      <c r="BB43" s="34">
        <f t="shared" si="10"/>
        <v>187.02460000000002</v>
      </c>
      <c r="BC43" s="81"/>
      <c r="BD43" s="34">
        <f t="shared" si="11"/>
        <v>22.9105135</v>
      </c>
      <c r="BE43" s="34">
        <f t="shared" si="12"/>
        <v>2.8053690000000002</v>
      </c>
      <c r="BF43" s="165">
        <f t="shared" si="13"/>
        <v>3.9275166000000006</v>
      </c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82"/>
      <c r="DT43" s="82"/>
      <c r="DU43" s="82"/>
      <c r="DV43" s="82"/>
      <c r="DW43" s="82"/>
      <c r="DX43" s="82"/>
      <c r="DY43" s="82"/>
      <c r="DZ43" s="82"/>
      <c r="EA43" s="82"/>
      <c r="EB43" s="82"/>
      <c r="EC43" s="82"/>
      <c r="ED43" s="82"/>
      <c r="EE43" s="82"/>
      <c r="EF43" s="82"/>
      <c r="EG43" s="82"/>
      <c r="EH43" s="82"/>
      <c r="EI43" s="82"/>
      <c r="EJ43" s="82"/>
      <c r="EK43" s="82"/>
      <c r="EL43" s="82"/>
      <c r="EM43" s="82"/>
      <c r="EN43" s="82"/>
      <c r="EO43" s="82"/>
      <c r="EP43" s="82"/>
      <c r="EQ43" s="82"/>
      <c r="ER43" s="82"/>
      <c r="ES43" s="82"/>
      <c r="ET43" s="82"/>
      <c r="EU43" s="82"/>
      <c r="EV43" s="82"/>
      <c r="EW43" s="82"/>
      <c r="EX43" s="82"/>
    </row>
    <row r="44" spans="1:154" s="78" customFormat="1" ht="15.6" customHeight="1" x14ac:dyDescent="0.3">
      <c r="A44" s="27">
        <v>36</v>
      </c>
      <c r="B44" s="36" t="s">
        <v>44</v>
      </c>
      <c r="C44" s="37" t="s">
        <v>45</v>
      </c>
      <c r="D44" s="168">
        <v>117474262</v>
      </c>
      <c r="E44" s="53" t="s">
        <v>170</v>
      </c>
      <c r="F44" s="53" t="s">
        <v>171</v>
      </c>
      <c r="G44" s="54" t="s">
        <v>209</v>
      </c>
      <c r="H44" s="10" t="s">
        <v>147</v>
      </c>
      <c r="I44" s="10" t="s">
        <v>48</v>
      </c>
      <c r="J44" s="40" t="s">
        <v>47</v>
      </c>
      <c r="K44" s="56" t="s">
        <v>167</v>
      </c>
      <c r="L44" s="42">
        <v>657.28</v>
      </c>
      <c r="M44" s="42">
        <v>25.28</v>
      </c>
      <c r="N44" s="57"/>
      <c r="O44" s="57"/>
      <c r="P44" s="58"/>
      <c r="Q44" s="58">
        <v>1</v>
      </c>
      <c r="R44" s="57">
        <v>1</v>
      </c>
      <c r="S44" s="57"/>
      <c r="T44" s="128" t="s">
        <v>38</v>
      </c>
      <c r="U44" s="57"/>
      <c r="V44" s="61">
        <v>1</v>
      </c>
      <c r="W44" s="57"/>
      <c r="X44" s="58">
        <v>1</v>
      </c>
      <c r="Y44" s="58">
        <v>1</v>
      </c>
      <c r="Z44" s="58">
        <v>1</v>
      </c>
      <c r="AA44" s="128" t="s">
        <v>38</v>
      </c>
      <c r="AB44" s="58">
        <v>1</v>
      </c>
      <c r="AC44" s="31">
        <f t="shared" si="17"/>
        <v>7</v>
      </c>
      <c r="AD44" s="34">
        <f t="shared" si="16"/>
        <v>176.96</v>
      </c>
      <c r="AE44" s="31">
        <f t="shared" si="3"/>
        <v>0</v>
      </c>
      <c r="AF44" s="31">
        <f t="shared" si="30"/>
        <v>0</v>
      </c>
      <c r="AG44" s="31">
        <v>33.18</v>
      </c>
      <c r="AH44" s="31">
        <f t="shared" si="15"/>
        <v>2</v>
      </c>
      <c r="AI44" s="31">
        <f t="shared" si="4"/>
        <v>66.36</v>
      </c>
      <c r="AJ44" s="79">
        <f t="shared" si="26"/>
        <v>0</v>
      </c>
      <c r="AK44" s="34">
        <f t="shared" si="18"/>
        <v>0</v>
      </c>
      <c r="AL44" s="80"/>
      <c r="AM44" s="34">
        <f t="shared" si="5"/>
        <v>0</v>
      </c>
      <c r="AN44" s="79">
        <v>0</v>
      </c>
      <c r="AO44" s="34">
        <f t="shared" si="19"/>
        <v>0</v>
      </c>
      <c r="AP44" s="34"/>
      <c r="AQ44" s="34"/>
      <c r="AR44" s="31"/>
      <c r="AS44" s="31"/>
      <c r="AT44" s="34">
        <f t="shared" si="6"/>
        <v>243.32</v>
      </c>
      <c r="AU44" s="34">
        <f t="shared" si="7"/>
        <v>23.723700000000001</v>
      </c>
      <c r="AV44" s="34">
        <f t="shared" si="8"/>
        <v>3.0415000000000001</v>
      </c>
      <c r="AW44" s="34"/>
      <c r="AX44" s="34"/>
      <c r="AY44" s="34">
        <v>0</v>
      </c>
      <c r="AZ44" s="34"/>
      <c r="BA44" s="34">
        <f t="shared" si="9"/>
        <v>26.7652</v>
      </c>
      <c r="BB44" s="34">
        <f t="shared" si="10"/>
        <v>216.5548</v>
      </c>
      <c r="BC44" s="81"/>
      <c r="BD44" s="34">
        <f t="shared" si="11"/>
        <v>26.527963</v>
      </c>
      <c r="BE44" s="34">
        <f t="shared" si="12"/>
        <v>3.2483219999999999</v>
      </c>
      <c r="BF44" s="165">
        <f t="shared" si="13"/>
        <v>4.5476508000000004</v>
      </c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82"/>
      <c r="EB44" s="82"/>
      <c r="EC44" s="82"/>
      <c r="ED44" s="82"/>
      <c r="EE44" s="82"/>
      <c r="EF44" s="82"/>
      <c r="EG44" s="82"/>
      <c r="EH44" s="82"/>
      <c r="EI44" s="82"/>
      <c r="EJ44" s="82"/>
      <c r="EK44" s="82"/>
      <c r="EL44" s="82"/>
      <c r="EM44" s="82"/>
      <c r="EN44" s="82"/>
      <c r="EO44" s="82"/>
      <c r="EP44" s="82"/>
      <c r="EQ44" s="82"/>
      <c r="ER44" s="82"/>
      <c r="ES44" s="82"/>
      <c r="ET44" s="82"/>
      <c r="EU44" s="82"/>
      <c r="EV44" s="82"/>
      <c r="EW44" s="82"/>
      <c r="EX44" s="82"/>
    </row>
    <row r="45" spans="1:154" s="78" customFormat="1" ht="15.6" customHeight="1" x14ac:dyDescent="0.3">
      <c r="A45" s="27">
        <v>37</v>
      </c>
      <c r="B45" s="36" t="s">
        <v>44</v>
      </c>
      <c r="C45" s="37" t="s">
        <v>45</v>
      </c>
      <c r="D45" s="168">
        <v>116367830</v>
      </c>
      <c r="E45" s="53" t="s">
        <v>109</v>
      </c>
      <c r="F45" s="53" t="s">
        <v>110</v>
      </c>
      <c r="G45" s="54" t="s">
        <v>92</v>
      </c>
      <c r="H45" s="10" t="s">
        <v>147</v>
      </c>
      <c r="I45" s="10" t="s">
        <v>48</v>
      </c>
      <c r="J45" s="40" t="s">
        <v>47</v>
      </c>
      <c r="K45" s="56">
        <v>46267</v>
      </c>
      <c r="L45" s="42">
        <v>657.28</v>
      </c>
      <c r="M45" s="42">
        <v>25.28</v>
      </c>
      <c r="N45" s="57"/>
      <c r="O45" s="57">
        <v>1</v>
      </c>
      <c r="P45" s="58"/>
      <c r="Q45" s="58">
        <v>1</v>
      </c>
      <c r="R45" s="57">
        <v>1</v>
      </c>
      <c r="S45" s="57">
        <v>1</v>
      </c>
      <c r="T45" s="128"/>
      <c r="U45" s="57"/>
      <c r="V45" s="61"/>
      <c r="W45" s="57"/>
      <c r="X45" s="58"/>
      <c r="Y45" s="58">
        <v>1</v>
      </c>
      <c r="Z45" s="58">
        <v>1</v>
      </c>
      <c r="AA45" s="128" t="s">
        <v>38</v>
      </c>
      <c r="AB45" s="58"/>
      <c r="AC45" s="31">
        <f t="shared" si="17"/>
        <v>6</v>
      </c>
      <c r="AD45" s="34">
        <f t="shared" si="16"/>
        <v>151.68</v>
      </c>
      <c r="AE45" s="31">
        <f t="shared" si="3"/>
        <v>0</v>
      </c>
      <c r="AF45" s="31">
        <f t="shared" si="30"/>
        <v>0</v>
      </c>
      <c r="AG45" s="31">
        <v>33.18</v>
      </c>
      <c r="AH45" s="31">
        <f t="shared" si="15"/>
        <v>1</v>
      </c>
      <c r="AI45" s="31">
        <f t="shared" si="4"/>
        <v>33.18</v>
      </c>
      <c r="AJ45" s="79">
        <f t="shared" si="26"/>
        <v>0</v>
      </c>
      <c r="AK45" s="34">
        <f t="shared" si="18"/>
        <v>0</v>
      </c>
      <c r="AL45" s="80"/>
      <c r="AM45" s="34">
        <f t="shared" si="5"/>
        <v>0</v>
      </c>
      <c r="AN45" s="79">
        <v>0</v>
      </c>
      <c r="AO45" s="34">
        <f t="shared" si="19"/>
        <v>0</v>
      </c>
      <c r="AP45" s="34"/>
      <c r="AQ45" s="34"/>
      <c r="AR45" s="31"/>
      <c r="AS45" s="31"/>
      <c r="AT45" s="34">
        <f t="shared" si="6"/>
        <v>184.86</v>
      </c>
      <c r="AU45" s="34">
        <f t="shared" si="7"/>
        <v>18.023850000000003</v>
      </c>
      <c r="AV45" s="34">
        <f t="shared" si="8"/>
        <v>2.3107500000000001</v>
      </c>
      <c r="AW45" s="34"/>
      <c r="AX45" s="34"/>
      <c r="AY45" s="34">
        <v>0</v>
      </c>
      <c r="AZ45" s="34"/>
      <c r="BA45" s="34">
        <f t="shared" si="9"/>
        <v>20.334600000000002</v>
      </c>
      <c r="BB45" s="34">
        <f t="shared" si="10"/>
        <v>164.52540000000002</v>
      </c>
      <c r="BC45" s="81"/>
      <c r="BD45" s="34">
        <f t="shared" si="11"/>
        <v>20.1543615</v>
      </c>
      <c r="BE45" s="34">
        <f t="shared" si="12"/>
        <v>2.4678810000000002</v>
      </c>
      <c r="BF45" s="165">
        <f t="shared" si="13"/>
        <v>3.4550334000000005</v>
      </c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82"/>
      <c r="DT45" s="82"/>
      <c r="DU45" s="82"/>
      <c r="DV45" s="82"/>
      <c r="DW45" s="82"/>
      <c r="DX45" s="82"/>
      <c r="DY45" s="82"/>
      <c r="DZ45" s="82"/>
      <c r="EA45" s="82"/>
      <c r="EB45" s="82"/>
      <c r="EC45" s="82"/>
      <c r="ED45" s="82"/>
      <c r="EE45" s="82"/>
      <c r="EF45" s="82"/>
      <c r="EG45" s="82"/>
      <c r="EH45" s="82"/>
      <c r="EI45" s="82"/>
      <c r="EJ45" s="82"/>
      <c r="EK45" s="82"/>
      <c r="EL45" s="82"/>
      <c r="EM45" s="82"/>
      <c r="EN45" s="82"/>
      <c r="EO45" s="82"/>
      <c r="EP45" s="82"/>
      <c r="EQ45" s="82"/>
      <c r="ER45" s="82"/>
      <c r="ES45" s="82"/>
      <c r="ET45" s="82"/>
      <c r="EU45" s="82"/>
      <c r="EV45" s="82"/>
      <c r="EW45" s="82"/>
      <c r="EX45" s="82"/>
    </row>
    <row r="46" spans="1:154" s="78" customFormat="1" ht="15.6" customHeight="1" x14ac:dyDescent="0.3">
      <c r="A46" s="27">
        <v>38</v>
      </c>
      <c r="B46" s="36" t="s">
        <v>44</v>
      </c>
      <c r="C46" s="37" t="s">
        <v>45</v>
      </c>
      <c r="D46" s="168">
        <v>114816481</v>
      </c>
      <c r="E46" s="53" t="s">
        <v>60</v>
      </c>
      <c r="F46" s="53" t="s">
        <v>55</v>
      </c>
      <c r="G46" s="54" t="s">
        <v>56</v>
      </c>
      <c r="H46" s="10" t="s">
        <v>147</v>
      </c>
      <c r="I46" s="10" t="s">
        <v>48</v>
      </c>
      <c r="J46" s="40" t="s">
        <v>47</v>
      </c>
      <c r="K46" s="56">
        <v>45175</v>
      </c>
      <c r="L46" s="42">
        <v>657.28</v>
      </c>
      <c r="M46" s="42">
        <v>25.28</v>
      </c>
      <c r="N46" s="57">
        <v>1</v>
      </c>
      <c r="O46" s="57"/>
      <c r="P46" s="58">
        <v>1</v>
      </c>
      <c r="Q46" s="58"/>
      <c r="R46" s="57">
        <v>1</v>
      </c>
      <c r="S46" s="57">
        <v>1</v>
      </c>
      <c r="T46" s="128" t="s">
        <v>38</v>
      </c>
      <c r="U46" s="57"/>
      <c r="V46" s="61">
        <v>1</v>
      </c>
      <c r="W46" s="57"/>
      <c r="X46" s="58">
        <v>1</v>
      </c>
      <c r="Y46" s="58"/>
      <c r="Z46" s="58"/>
      <c r="AA46" s="128" t="s">
        <v>38</v>
      </c>
      <c r="AB46" s="58">
        <v>1</v>
      </c>
      <c r="AC46" s="31">
        <f t="shared" si="17"/>
        <v>7</v>
      </c>
      <c r="AD46" s="34">
        <f t="shared" si="16"/>
        <v>176.96</v>
      </c>
      <c r="AE46" s="31">
        <f t="shared" si="3"/>
        <v>0</v>
      </c>
      <c r="AF46" s="31">
        <f t="shared" si="30"/>
        <v>0</v>
      </c>
      <c r="AG46" s="31">
        <v>33.18</v>
      </c>
      <c r="AH46" s="31">
        <f t="shared" si="15"/>
        <v>2</v>
      </c>
      <c r="AI46" s="31">
        <f t="shared" si="4"/>
        <v>66.36</v>
      </c>
      <c r="AJ46" s="79">
        <f t="shared" si="26"/>
        <v>0</v>
      </c>
      <c r="AK46" s="34">
        <f t="shared" si="18"/>
        <v>0</v>
      </c>
      <c r="AL46" s="80"/>
      <c r="AM46" s="34">
        <f t="shared" si="5"/>
        <v>0</v>
      </c>
      <c r="AN46" s="79">
        <v>0</v>
      </c>
      <c r="AO46" s="34">
        <f t="shared" si="19"/>
        <v>0</v>
      </c>
      <c r="AP46" s="34"/>
      <c r="AQ46" s="34"/>
      <c r="AR46" s="31"/>
      <c r="AS46" s="31"/>
      <c r="AT46" s="34">
        <f t="shared" si="6"/>
        <v>243.32</v>
      </c>
      <c r="AU46" s="34">
        <f t="shared" si="7"/>
        <v>23.723700000000001</v>
      </c>
      <c r="AV46" s="34">
        <f t="shared" si="8"/>
        <v>3.0415000000000001</v>
      </c>
      <c r="AW46" s="34"/>
      <c r="AX46" s="34"/>
      <c r="AY46" s="34">
        <v>0</v>
      </c>
      <c r="AZ46" s="34"/>
      <c r="BA46" s="34">
        <f t="shared" si="9"/>
        <v>26.7652</v>
      </c>
      <c r="BB46" s="34">
        <f t="shared" si="10"/>
        <v>216.5548</v>
      </c>
      <c r="BC46" s="81"/>
      <c r="BD46" s="34">
        <f t="shared" si="11"/>
        <v>26.527963</v>
      </c>
      <c r="BE46" s="34">
        <f t="shared" si="12"/>
        <v>3.2483219999999999</v>
      </c>
      <c r="BF46" s="165">
        <f t="shared" si="13"/>
        <v>4.5476508000000004</v>
      </c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82"/>
      <c r="DT46" s="82"/>
      <c r="DU46" s="82"/>
      <c r="DV46" s="82"/>
      <c r="DW46" s="82"/>
      <c r="DX46" s="82"/>
      <c r="DY46" s="82"/>
      <c r="DZ46" s="82"/>
      <c r="EA46" s="82"/>
      <c r="EB46" s="82"/>
      <c r="EC46" s="82"/>
      <c r="ED46" s="82"/>
      <c r="EE46" s="82"/>
      <c r="EF46" s="82"/>
      <c r="EG46" s="82"/>
      <c r="EH46" s="82"/>
      <c r="EI46" s="82"/>
      <c r="EJ46" s="82"/>
      <c r="EK46" s="82"/>
      <c r="EL46" s="82"/>
      <c r="EM46" s="82"/>
      <c r="EN46" s="82"/>
      <c r="EO46" s="82"/>
      <c r="EP46" s="82"/>
      <c r="EQ46" s="82"/>
      <c r="ER46" s="82"/>
      <c r="ES46" s="82"/>
      <c r="ET46" s="82"/>
      <c r="EU46" s="82"/>
      <c r="EV46" s="82"/>
      <c r="EW46" s="82"/>
      <c r="EX46" s="82"/>
    </row>
    <row r="47" spans="1:154" s="78" customFormat="1" ht="15.6" customHeight="1" x14ac:dyDescent="0.3">
      <c r="A47" s="27">
        <v>39</v>
      </c>
      <c r="B47" s="36" t="s">
        <v>44</v>
      </c>
      <c r="C47" s="37" t="s">
        <v>45</v>
      </c>
      <c r="D47" s="115">
        <v>118582576</v>
      </c>
      <c r="E47" s="53" t="s">
        <v>113</v>
      </c>
      <c r="F47" s="53" t="s">
        <v>114</v>
      </c>
      <c r="G47" s="54" t="s">
        <v>210</v>
      </c>
      <c r="H47" s="10" t="s">
        <v>147</v>
      </c>
      <c r="I47" s="10" t="s">
        <v>48</v>
      </c>
      <c r="J47" s="40" t="s">
        <v>47</v>
      </c>
      <c r="K47" s="56">
        <v>46267</v>
      </c>
      <c r="L47" s="42">
        <v>657.28</v>
      </c>
      <c r="M47" s="42">
        <v>25.28</v>
      </c>
      <c r="N47" s="57">
        <v>1</v>
      </c>
      <c r="O47" s="57">
        <v>1</v>
      </c>
      <c r="P47" s="58"/>
      <c r="Q47" s="58">
        <v>1</v>
      </c>
      <c r="R47" s="57"/>
      <c r="S47" s="57">
        <v>1</v>
      </c>
      <c r="T47" s="128" t="s">
        <v>38</v>
      </c>
      <c r="U47" s="57"/>
      <c r="V47" s="61">
        <v>1</v>
      </c>
      <c r="W47" s="57"/>
      <c r="X47" s="58">
        <v>1</v>
      </c>
      <c r="Y47" s="58">
        <v>1</v>
      </c>
      <c r="Z47" s="58"/>
      <c r="AA47" s="128"/>
      <c r="AB47" s="58"/>
      <c r="AC47" s="31">
        <f t="shared" si="17"/>
        <v>7</v>
      </c>
      <c r="AD47" s="34">
        <f t="shared" si="16"/>
        <v>176.96</v>
      </c>
      <c r="AE47" s="31">
        <f t="shared" si="3"/>
        <v>0</v>
      </c>
      <c r="AF47" s="31">
        <f t="shared" si="30"/>
        <v>0</v>
      </c>
      <c r="AG47" s="31">
        <v>33.18</v>
      </c>
      <c r="AH47" s="31">
        <f t="shared" si="15"/>
        <v>1</v>
      </c>
      <c r="AI47" s="31">
        <f t="shared" si="4"/>
        <v>33.18</v>
      </c>
      <c r="AJ47" s="79">
        <f t="shared" si="26"/>
        <v>0</v>
      </c>
      <c r="AK47" s="34">
        <f t="shared" si="18"/>
        <v>0</v>
      </c>
      <c r="AL47" s="80"/>
      <c r="AM47" s="34">
        <f t="shared" si="5"/>
        <v>0</v>
      </c>
      <c r="AN47" s="79">
        <v>0</v>
      </c>
      <c r="AO47" s="34">
        <f t="shared" si="19"/>
        <v>0</v>
      </c>
      <c r="AP47" s="34"/>
      <c r="AQ47" s="34"/>
      <c r="AR47" s="31"/>
      <c r="AS47" s="31"/>
      <c r="AT47" s="34">
        <f t="shared" si="6"/>
        <v>210.14000000000001</v>
      </c>
      <c r="AU47" s="34">
        <f t="shared" si="7"/>
        <v>20.488650000000003</v>
      </c>
      <c r="AV47" s="34">
        <f t="shared" si="8"/>
        <v>2.6267500000000004</v>
      </c>
      <c r="AW47" s="34"/>
      <c r="AX47" s="34"/>
      <c r="AY47" s="34">
        <v>0</v>
      </c>
      <c r="AZ47" s="34"/>
      <c r="BA47" s="34">
        <f t="shared" si="9"/>
        <v>23.115400000000005</v>
      </c>
      <c r="BB47" s="34">
        <f t="shared" si="10"/>
        <v>187.02460000000002</v>
      </c>
      <c r="BC47" s="81"/>
      <c r="BD47" s="34">
        <f t="shared" si="11"/>
        <v>22.9105135</v>
      </c>
      <c r="BE47" s="34">
        <f t="shared" si="12"/>
        <v>2.8053690000000002</v>
      </c>
      <c r="BF47" s="165">
        <f t="shared" si="13"/>
        <v>3.9275166000000006</v>
      </c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82"/>
    </row>
    <row r="48" spans="1:154" s="78" customFormat="1" ht="15.6" customHeight="1" x14ac:dyDescent="0.3">
      <c r="A48" s="27">
        <v>40</v>
      </c>
      <c r="B48" s="36" t="s">
        <v>44</v>
      </c>
      <c r="C48" s="37" t="s">
        <v>45</v>
      </c>
      <c r="D48" s="169">
        <v>115730137</v>
      </c>
      <c r="E48" s="170" t="s">
        <v>307</v>
      </c>
      <c r="F48" s="171" t="s">
        <v>308</v>
      </c>
      <c r="G48" s="54" t="s">
        <v>293</v>
      </c>
      <c r="H48" s="10" t="s">
        <v>147</v>
      </c>
      <c r="I48" s="10" t="s">
        <v>48</v>
      </c>
      <c r="J48" s="40" t="s">
        <v>47</v>
      </c>
      <c r="K48" s="56">
        <v>46362</v>
      </c>
      <c r="L48" s="42">
        <v>657.28</v>
      </c>
      <c r="M48" s="42">
        <v>25.28</v>
      </c>
      <c r="N48" s="95" t="s">
        <v>229</v>
      </c>
      <c r="O48" s="95" t="s">
        <v>229</v>
      </c>
      <c r="P48" s="63" t="s">
        <v>229</v>
      </c>
      <c r="Q48" s="63" t="s">
        <v>229</v>
      </c>
      <c r="R48" s="95" t="s">
        <v>229</v>
      </c>
      <c r="S48" s="95" t="s">
        <v>229</v>
      </c>
      <c r="T48" s="63" t="s">
        <v>229</v>
      </c>
      <c r="U48" s="95" t="s">
        <v>229</v>
      </c>
      <c r="V48" s="63" t="s">
        <v>229</v>
      </c>
      <c r="W48" s="95" t="s">
        <v>229</v>
      </c>
      <c r="X48" s="63" t="s">
        <v>229</v>
      </c>
      <c r="Y48" s="63" t="s">
        <v>229</v>
      </c>
      <c r="Z48" s="58">
        <v>1</v>
      </c>
      <c r="AA48" s="128" t="s">
        <v>38</v>
      </c>
      <c r="AB48" s="58"/>
      <c r="AC48" s="31">
        <f t="shared" si="17"/>
        <v>1</v>
      </c>
      <c r="AD48" s="34">
        <f t="shared" si="16"/>
        <v>25.28</v>
      </c>
      <c r="AE48" s="31">
        <f t="shared" si="3"/>
        <v>0</v>
      </c>
      <c r="AF48" s="31">
        <f t="shared" si="30"/>
        <v>0</v>
      </c>
      <c r="AG48" s="31">
        <v>33.18</v>
      </c>
      <c r="AH48" s="31">
        <f t="shared" si="15"/>
        <v>1</v>
      </c>
      <c r="AI48" s="31">
        <f t="shared" si="4"/>
        <v>33.18</v>
      </c>
      <c r="AJ48" s="79">
        <f t="shared" si="26"/>
        <v>0</v>
      </c>
      <c r="AK48" s="34">
        <f t="shared" si="18"/>
        <v>0</v>
      </c>
      <c r="AL48" s="138"/>
      <c r="AM48" s="34">
        <f t="shared" si="5"/>
        <v>0</v>
      </c>
      <c r="AN48" s="79">
        <v>0</v>
      </c>
      <c r="AO48" s="34">
        <f t="shared" si="19"/>
        <v>0</v>
      </c>
      <c r="AP48" s="122"/>
      <c r="AQ48" s="122"/>
      <c r="AR48" s="44"/>
      <c r="AS48" s="44"/>
      <c r="AT48" s="34">
        <f t="shared" si="6"/>
        <v>58.46</v>
      </c>
      <c r="AU48" s="34">
        <f t="shared" si="7"/>
        <v>5.6998500000000005</v>
      </c>
      <c r="AV48" s="34">
        <f t="shared" si="8"/>
        <v>0.73075000000000001</v>
      </c>
      <c r="AW48" s="122"/>
      <c r="AX48" s="122"/>
      <c r="AY48" s="34">
        <v>0</v>
      </c>
      <c r="AZ48" s="122"/>
      <c r="BA48" s="34">
        <f t="shared" si="9"/>
        <v>6.4306000000000001</v>
      </c>
      <c r="BB48" s="34">
        <f t="shared" si="10"/>
        <v>52.029400000000003</v>
      </c>
      <c r="BC48" s="139"/>
      <c r="BD48" s="34">
        <f t="shared" si="11"/>
        <v>6.3736015000000004</v>
      </c>
      <c r="BE48" s="34">
        <f t="shared" si="12"/>
        <v>0.78044100000000005</v>
      </c>
      <c r="BF48" s="165">
        <f t="shared" si="13"/>
        <v>1.0926174000000002</v>
      </c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82"/>
      <c r="DP48" s="82"/>
      <c r="DQ48" s="82"/>
      <c r="DR48" s="82"/>
      <c r="DS48" s="82"/>
      <c r="DT48" s="82"/>
      <c r="DU48" s="82"/>
      <c r="DV48" s="82"/>
      <c r="DW48" s="82"/>
      <c r="DX48" s="82"/>
      <c r="DY48" s="82"/>
      <c r="DZ48" s="82"/>
      <c r="EA48" s="82"/>
      <c r="EB48" s="82"/>
      <c r="EC48" s="82"/>
      <c r="ED48" s="82"/>
      <c r="EE48" s="82"/>
      <c r="EF48" s="82"/>
      <c r="EG48" s="82"/>
      <c r="EH48" s="82"/>
      <c r="EI48" s="82"/>
      <c r="EJ48" s="82"/>
      <c r="EK48" s="82"/>
      <c r="EL48" s="82"/>
      <c r="EM48" s="82"/>
      <c r="EN48" s="82"/>
      <c r="EO48" s="82"/>
      <c r="EP48" s="82"/>
      <c r="EQ48" s="82"/>
      <c r="ER48" s="82"/>
      <c r="ES48" s="82"/>
      <c r="ET48" s="82"/>
      <c r="EU48" s="82"/>
      <c r="EV48" s="82"/>
      <c r="EW48" s="82"/>
      <c r="EX48" s="82"/>
    </row>
    <row r="49" spans="1:154" s="78" customFormat="1" x14ac:dyDescent="0.3">
      <c r="A49" s="27">
        <v>41</v>
      </c>
      <c r="B49" s="36" t="s">
        <v>44</v>
      </c>
      <c r="C49" s="37" t="s">
        <v>45</v>
      </c>
      <c r="D49" s="84">
        <v>117289884</v>
      </c>
      <c r="E49" s="85" t="s">
        <v>183</v>
      </c>
      <c r="F49" s="85" t="s">
        <v>184</v>
      </c>
      <c r="G49" s="55" t="s">
        <v>180</v>
      </c>
      <c r="H49" s="10" t="s">
        <v>147</v>
      </c>
      <c r="I49" s="10" t="s">
        <v>48</v>
      </c>
      <c r="J49" s="40" t="s">
        <v>47</v>
      </c>
      <c r="K49" s="41">
        <v>46026</v>
      </c>
      <c r="L49" s="42">
        <v>657.28</v>
      </c>
      <c r="M49" s="42">
        <v>25.28</v>
      </c>
      <c r="N49" s="60"/>
      <c r="O49" s="60">
        <v>1</v>
      </c>
      <c r="P49" s="61"/>
      <c r="Q49" s="61">
        <v>1</v>
      </c>
      <c r="R49" s="60"/>
      <c r="S49" s="61">
        <v>1</v>
      </c>
      <c r="T49" s="129" t="s">
        <v>38</v>
      </c>
      <c r="U49" s="60">
        <v>1</v>
      </c>
      <c r="V49" s="61">
        <v>1</v>
      </c>
      <c r="W49" s="60"/>
      <c r="X49" s="60"/>
      <c r="Y49" s="61">
        <v>1</v>
      </c>
      <c r="Z49" s="61">
        <v>1</v>
      </c>
      <c r="AA49" s="129" t="s">
        <v>38</v>
      </c>
      <c r="AB49" s="58">
        <v>1</v>
      </c>
      <c r="AC49" s="31">
        <f t="shared" si="17"/>
        <v>8</v>
      </c>
      <c r="AD49" s="34">
        <f t="shared" si="16"/>
        <v>202.24</v>
      </c>
      <c r="AE49" s="31">
        <f t="shared" si="3"/>
        <v>0</v>
      </c>
      <c r="AF49" s="31">
        <f t="shared" si="30"/>
        <v>0</v>
      </c>
      <c r="AG49" s="31">
        <v>33.18</v>
      </c>
      <c r="AH49" s="31">
        <f t="shared" si="15"/>
        <v>2</v>
      </c>
      <c r="AI49" s="31">
        <f t="shared" si="4"/>
        <v>66.36</v>
      </c>
      <c r="AJ49" s="79">
        <f t="shared" si="26"/>
        <v>0</v>
      </c>
      <c r="AK49" s="34">
        <f t="shared" si="18"/>
        <v>0</v>
      </c>
      <c r="AL49" s="80"/>
      <c r="AM49" s="34">
        <f t="shared" si="5"/>
        <v>0</v>
      </c>
      <c r="AN49" s="79">
        <v>0</v>
      </c>
      <c r="AO49" s="34">
        <f t="shared" si="19"/>
        <v>0</v>
      </c>
      <c r="AP49" s="34"/>
      <c r="AQ49" s="34"/>
      <c r="AR49" s="31"/>
      <c r="AS49" s="31"/>
      <c r="AT49" s="34">
        <f t="shared" si="6"/>
        <v>268.60000000000002</v>
      </c>
      <c r="AU49" s="34">
        <f t="shared" si="7"/>
        <v>26.188500000000005</v>
      </c>
      <c r="AV49" s="34">
        <f t="shared" si="8"/>
        <v>3.3575000000000004</v>
      </c>
      <c r="AW49" s="34"/>
      <c r="AX49" s="34"/>
      <c r="AY49" s="34">
        <v>0</v>
      </c>
      <c r="AZ49" s="34"/>
      <c r="BA49" s="34">
        <f t="shared" si="9"/>
        <v>29.546000000000006</v>
      </c>
      <c r="BB49" s="34">
        <f t="shared" si="10"/>
        <v>239.05400000000003</v>
      </c>
      <c r="BC49" s="81"/>
      <c r="BD49" s="34">
        <f t="shared" si="11"/>
        <v>29.284115000000003</v>
      </c>
      <c r="BE49" s="34">
        <f t="shared" si="12"/>
        <v>3.5858100000000004</v>
      </c>
      <c r="BF49" s="165">
        <f t="shared" si="13"/>
        <v>5.0201340000000005</v>
      </c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82"/>
      <c r="DT49" s="82"/>
      <c r="DU49" s="82"/>
      <c r="DV49" s="82"/>
      <c r="DW49" s="82"/>
      <c r="DX49" s="82"/>
      <c r="DY49" s="82"/>
      <c r="DZ49" s="82"/>
      <c r="EA49" s="82"/>
      <c r="EB49" s="82"/>
      <c r="EC49" s="82"/>
      <c r="ED49" s="82"/>
      <c r="EE49" s="82"/>
      <c r="EF49" s="82"/>
      <c r="EG49" s="82"/>
      <c r="EH49" s="82"/>
      <c r="EI49" s="82"/>
      <c r="EJ49" s="82"/>
      <c r="EK49" s="82"/>
      <c r="EL49" s="82"/>
      <c r="EM49" s="82"/>
      <c r="EN49" s="82"/>
      <c r="EO49" s="82"/>
      <c r="EP49" s="82"/>
      <c r="EQ49" s="82"/>
      <c r="ER49" s="82"/>
      <c r="ES49" s="82"/>
      <c r="ET49" s="82"/>
      <c r="EU49" s="82"/>
      <c r="EV49" s="82"/>
      <c r="EW49" s="82"/>
      <c r="EX49" s="82"/>
    </row>
    <row r="50" spans="1:154" s="110" customFormat="1" x14ac:dyDescent="0.3">
      <c r="A50" s="27">
        <v>42</v>
      </c>
      <c r="B50" s="36" t="s">
        <v>44</v>
      </c>
      <c r="C50" s="37" t="s">
        <v>45</v>
      </c>
      <c r="D50" s="30">
        <v>117330324</v>
      </c>
      <c r="E50" s="10" t="s">
        <v>201</v>
      </c>
      <c r="F50" s="10" t="s">
        <v>202</v>
      </c>
      <c r="G50" s="86" t="s">
        <v>192</v>
      </c>
      <c r="H50" s="10" t="s">
        <v>147</v>
      </c>
      <c r="I50" s="10" t="s">
        <v>48</v>
      </c>
      <c r="J50" s="40" t="s">
        <v>47</v>
      </c>
      <c r="K50" s="33" t="s">
        <v>205</v>
      </c>
      <c r="L50" s="42">
        <v>657.28</v>
      </c>
      <c r="M50" s="42">
        <v>25.28</v>
      </c>
      <c r="N50" s="60">
        <v>1</v>
      </c>
      <c r="O50" s="60"/>
      <c r="P50" s="61"/>
      <c r="Q50" s="61"/>
      <c r="R50" s="60">
        <v>1</v>
      </c>
      <c r="S50" s="61">
        <v>1</v>
      </c>
      <c r="T50" s="129"/>
      <c r="U50" s="60">
        <v>1</v>
      </c>
      <c r="V50" s="61"/>
      <c r="W50" s="60">
        <v>1</v>
      </c>
      <c r="X50" s="60"/>
      <c r="Y50" s="61">
        <v>1</v>
      </c>
      <c r="Z50" s="61">
        <v>1</v>
      </c>
      <c r="AA50" s="129" t="s">
        <v>38</v>
      </c>
      <c r="AB50" s="58">
        <v>1</v>
      </c>
      <c r="AC50" s="31">
        <f t="shared" si="17"/>
        <v>8</v>
      </c>
      <c r="AD50" s="34">
        <f t="shared" si="16"/>
        <v>202.24</v>
      </c>
      <c r="AE50" s="31">
        <f t="shared" si="3"/>
        <v>0</v>
      </c>
      <c r="AF50" s="31">
        <f t="shared" si="30"/>
        <v>0</v>
      </c>
      <c r="AG50" s="31">
        <v>33.18</v>
      </c>
      <c r="AH50" s="31">
        <f t="shared" si="15"/>
        <v>1</v>
      </c>
      <c r="AI50" s="31">
        <f t="shared" si="4"/>
        <v>33.18</v>
      </c>
      <c r="AJ50" s="79">
        <f t="shared" si="26"/>
        <v>0</v>
      </c>
      <c r="AK50" s="34">
        <f t="shared" si="18"/>
        <v>0</v>
      </c>
      <c r="AL50" s="80"/>
      <c r="AM50" s="34">
        <f t="shared" si="5"/>
        <v>0</v>
      </c>
      <c r="AN50" s="79">
        <v>0</v>
      </c>
      <c r="AO50" s="34">
        <f t="shared" si="19"/>
        <v>0</v>
      </c>
      <c r="AP50" s="34"/>
      <c r="AQ50" s="34"/>
      <c r="AR50" s="31"/>
      <c r="AS50" s="31"/>
      <c r="AT50" s="34">
        <f t="shared" si="6"/>
        <v>235.42000000000002</v>
      </c>
      <c r="AU50" s="34">
        <f t="shared" si="7"/>
        <v>22.953450000000004</v>
      </c>
      <c r="AV50" s="34">
        <f t="shared" si="8"/>
        <v>2.9427500000000002</v>
      </c>
      <c r="AW50" s="34"/>
      <c r="AX50" s="34"/>
      <c r="AY50" s="34">
        <v>0</v>
      </c>
      <c r="AZ50" s="34"/>
      <c r="BA50" s="34">
        <f t="shared" si="9"/>
        <v>25.896200000000004</v>
      </c>
      <c r="BB50" s="34">
        <f t="shared" si="10"/>
        <v>209.52380000000002</v>
      </c>
      <c r="BC50" s="81"/>
      <c r="BD50" s="34">
        <f t="shared" si="11"/>
        <v>25.666665500000001</v>
      </c>
      <c r="BE50" s="34">
        <f t="shared" si="12"/>
        <v>3.1428570000000002</v>
      </c>
      <c r="BF50" s="165">
        <f t="shared" si="13"/>
        <v>4.3999998000000007</v>
      </c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2"/>
      <c r="DS50" s="82"/>
      <c r="DT50" s="82"/>
      <c r="DU50" s="82"/>
      <c r="DV50" s="82"/>
      <c r="DW50" s="82"/>
      <c r="DX50" s="82"/>
      <c r="DY50" s="82"/>
      <c r="DZ50" s="82"/>
      <c r="EA50" s="82"/>
      <c r="EB50" s="82"/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82"/>
      <c r="EQ50" s="82"/>
      <c r="ER50" s="82"/>
      <c r="ES50" s="82"/>
      <c r="ET50" s="82"/>
      <c r="EU50" s="82"/>
      <c r="EV50" s="82"/>
      <c r="EW50" s="82"/>
      <c r="EX50" s="82"/>
    </row>
    <row r="51" spans="1:154" s="110" customFormat="1" x14ac:dyDescent="0.3">
      <c r="A51" s="27">
        <v>43</v>
      </c>
      <c r="B51" s="36" t="s">
        <v>44</v>
      </c>
      <c r="C51" s="37" t="s">
        <v>45</v>
      </c>
      <c r="D51" s="114">
        <v>116531690</v>
      </c>
      <c r="E51" s="10" t="s">
        <v>203</v>
      </c>
      <c r="F51" s="85" t="s">
        <v>204</v>
      </c>
      <c r="G51" s="86" t="s">
        <v>193</v>
      </c>
      <c r="H51" s="10" t="s">
        <v>147</v>
      </c>
      <c r="I51" s="10" t="s">
        <v>48</v>
      </c>
      <c r="J51" s="40" t="s">
        <v>47</v>
      </c>
      <c r="K51" s="33" t="s">
        <v>205</v>
      </c>
      <c r="L51" s="42">
        <v>657.28</v>
      </c>
      <c r="M51" s="42">
        <v>25.28</v>
      </c>
      <c r="N51" s="60">
        <v>1</v>
      </c>
      <c r="O51" s="60"/>
      <c r="P51" s="61">
        <v>1</v>
      </c>
      <c r="Q51" s="61"/>
      <c r="R51" s="60">
        <v>1</v>
      </c>
      <c r="S51" s="61">
        <v>1</v>
      </c>
      <c r="T51" s="129" t="s">
        <v>38</v>
      </c>
      <c r="U51" s="60">
        <v>1</v>
      </c>
      <c r="V51" s="61">
        <v>1</v>
      </c>
      <c r="W51" s="60"/>
      <c r="X51" s="60">
        <v>1</v>
      </c>
      <c r="Y51" s="61">
        <v>1</v>
      </c>
      <c r="Z51" s="61">
        <v>1</v>
      </c>
      <c r="AA51" s="129"/>
      <c r="AB51" s="58">
        <v>1</v>
      </c>
      <c r="AC51" s="31">
        <f t="shared" si="17"/>
        <v>10</v>
      </c>
      <c r="AD51" s="34">
        <f t="shared" si="16"/>
        <v>252.8</v>
      </c>
      <c r="AE51" s="31" t="e">
        <f>COUNTIF(#REF!,"V")</f>
        <v>#REF!</v>
      </c>
      <c r="AF51" s="31" t="e">
        <f t="shared" si="30"/>
        <v>#REF!</v>
      </c>
      <c r="AG51" s="31">
        <v>33.18</v>
      </c>
      <c r="AH51" s="31">
        <f t="shared" si="15"/>
        <v>1</v>
      </c>
      <c r="AI51" s="31">
        <f t="shared" si="4"/>
        <v>33.18</v>
      </c>
      <c r="AJ51" s="79">
        <f t="shared" si="26"/>
        <v>0</v>
      </c>
      <c r="AK51" s="34">
        <f t="shared" si="18"/>
        <v>0</v>
      </c>
      <c r="AL51" s="80"/>
      <c r="AM51" s="34">
        <f t="shared" si="5"/>
        <v>0</v>
      </c>
      <c r="AN51" s="79">
        <v>0</v>
      </c>
      <c r="AO51" s="34">
        <f t="shared" si="19"/>
        <v>0</v>
      </c>
      <c r="AP51" s="34"/>
      <c r="AQ51" s="34"/>
      <c r="AR51" s="31"/>
      <c r="AS51" s="31"/>
      <c r="AT51" s="34">
        <f t="shared" si="6"/>
        <v>285.98</v>
      </c>
      <c r="AU51" s="34">
        <f t="shared" si="7"/>
        <v>27.883050000000004</v>
      </c>
      <c r="AV51" s="34">
        <f t="shared" si="8"/>
        <v>3.5747500000000003</v>
      </c>
      <c r="AW51" s="34"/>
      <c r="AX51" s="34"/>
      <c r="AY51" s="34">
        <v>0</v>
      </c>
      <c r="AZ51" s="34"/>
      <c r="BA51" s="34">
        <f t="shared" si="9"/>
        <v>31.457800000000006</v>
      </c>
      <c r="BB51" s="34">
        <f t="shared" si="10"/>
        <v>254.5222</v>
      </c>
      <c r="BC51" s="81"/>
      <c r="BD51" s="34">
        <f t="shared" si="11"/>
        <v>31.178969500000001</v>
      </c>
      <c r="BE51" s="34">
        <f t="shared" si="12"/>
        <v>3.8178329999999998</v>
      </c>
      <c r="BF51" s="165">
        <f t="shared" si="13"/>
        <v>5.3449662</v>
      </c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82"/>
      <c r="DZ51" s="82"/>
      <c r="EA51" s="82"/>
      <c r="EB51" s="82"/>
      <c r="EC51" s="82"/>
      <c r="ED51" s="82"/>
      <c r="EE51" s="82"/>
      <c r="EF51" s="82"/>
      <c r="EG51" s="82"/>
      <c r="EH51" s="82"/>
      <c r="EI51" s="82"/>
      <c r="EJ51" s="82"/>
      <c r="EK51" s="82"/>
      <c r="EL51" s="82"/>
      <c r="EM51" s="82"/>
      <c r="EN51" s="82"/>
      <c r="EO51" s="82"/>
      <c r="EP51" s="82"/>
      <c r="EQ51" s="82"/>
      <c r="ER51" s="82"/>
      <c r="ES51" s="82"/>
      <c r="ET51" s="82"/>
      <c r="EU51" s="82"/>
      <c r="EV51" s="82"/>
      <c r="EW51" s="82"/>
      <c r="EX51" s="82"/>
    </row>
    <row r="52" spans="1:154" s="110" customFormat="1" x14ac:dyDescent="0.3">
      <c r="A52" s="27">
        <v>44</v>
      </c>
      <c r="B52" s="36" t="s">
        <v>44</v>
      </c>
      <c r="C52" s="37" t="s">
        <v>45</v>
      </c>
      <c r="D52" s="114">
        <v>116622267</v>
      </c>
      <c r="E52" s="87" t="s">
        <v>216</v>
      </c>
      <c r="F52" s="87" t="s">
        <v>217</v>
      </c>
      <c r="G52" s="88" t="s">
        <v>211</v>
      </c>
      <c r="H52" s="10" t="s">
        <v>147</v>
      </c>
      <c r="I52" s="10" t="s">
        <v>48</v>
      </c>
      <c r="J52" s="40" t="s">
        <v>47</v>
      </c>
      <c r="K52" s="51">
        <v>46058</v>
      </c>
      <c r="L52" s="42">
        <v>657.28</v>
      </c>
      <c r="M52" s="42">
        <v>25.28</v>
      </c>
      <c r="N52" s="57">
        <v>1</v>
      </c>
      <c r="O52" s="57"/>
      <c r="P52" s="58"/>
      <c r="Q52" s="58"/>
      <c r="R52" s="57">
        <v>1</v>
      </c>
      <c r="S52" s="58">
        <v>1</v>
      </c>
      <c r="T52" s="128"/>
      <c r="U52" s="57"/>
      <c r="V52" s="58"/>
      <c r="W52" s="57">
        <v>1</v>
      </c>
      <c r="X52" s="57"/>
      <c r="Y52" s="58">
        <v>1</v>
      </c>
      <c r="Z52" s="58">
        <v>1</v>
      </c>
      <c r="AA52" s="128" t="s">
        <v>38</v>
      </c>
      <c r="AB52" s="58">
        <v>1</v>
      </c>
      <c r="AC52" s="31">
        <f t="shared" si="17"/>
        <v>7</v>
      </c>
      <c r="AD52" s="34">
        <f t="shared" si="16"/>
        <v>176.96</v>
      </c>
      <c r="AE52" s="31">
        <f>COUNTIF(N54:AB54,"V")</f>
        <v>0</v>
      </c>
      <c r="AF52" s="31">
        <f t="shared" si="30"/>
        <v>0</v>
      </c>
      <c r="AG52" s="31">
        <v>33.18</v>
      </c>
      <c r="AH52" s="31">
        <f t="shared" si="15"/>
        <v>1</v>
      </c>
      <c r="AI52" s="31">
        <f t="shared" si="4"/>
        <v>33.18</v>
      </c>
      <c r="AJ52" s="79">
        <f t="shared" si="26"/>
        <v>0</v>
      </c>
      <c r="AK52" s="34">
        <f t="shared" si="18"/>
        <v>0</v>
      </c>
      <c r="AL52" s="80"/>
      <c r="AM52" s="34">
        <f t="shared" si="5"/>
        <v>0</v>
      </c>
      <c r="AN52" s="79">
        <v>0</v>
      </c>
      <c r="AO52" s="34">
        <f t="shared" si="19"/>
        <v>0</v>
      </c>
      <c r="AP52" s="34"/>
      <c r="AQ52" s="34"/>
      <c r="AR52" s="31"/>
      <c r="AS52" s="31"/>
      <c r="AT52" s="34">
        <f t="shared" si="6"/>
        <v>210.14000000000001</v>
      </c>
      <c r="AU52" s="34">
        <f t="shared" si="7"/>
        <v>20.488650000000003</v>
      </c>
      <c r="AV52" s="34">
        <f t="shared" si="8"/>
        <v>2.6267500000000004</v>
      </c>
      <c r="AW52" s="34"/>
      <c r="AX52" s="34"/>
      <c r="AY52" s="34">
        <v>0</v>
      </c>
      <c r="AZ52" s="34"/>
      <c r="BA52" s="34">
        <f t="shared" si="9"/>
        <v>23.115400000000005</v>
      </c>
      <c r="BB52" s="34">
        <f t="shared" si="10"/>
        <v>187.02460000000002</v>
      </c>
      <c r="BC52" s="81"/>
      <c r="BD52" s="34">
        <f t="shared" si="11"/>
        <v>22.9105135</v>
      </c>
      <c r="BE52" s="34">
        <f t="shared" si="12"/>
        <v>2.8053690000000002</v>
      </c>
      <c r="BF52" s="165">
        <f t="shared" si="13"/>
        <v>3.9275166000000006</v>
      </c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82"/>
      <c r="DT52" s="82"/>
      <c r="DU52" s="82"/>
      <c r="DV52" s="82"/>
      <c r="DW52" s="82"/>
      <c r="DX52" s="82"/>
      <c r="DY52" s="82"/>
      <c r="DZ52" s="82"/>
      <c r="EA52" s="82"/>
      <c r="EB52" s="82"/>
      <c r="EC52" s="82"/>
      <c r="ED52" s="82"/>
      <c r="EE52" s="82"/>
      <c r="EF52" s="82"/>
      <c r="EG52" s="82"/>
      <c r="EH52" s="82"/>
      <c r="EI52" s="82"/>
      <c r="EJ52" s="82"/>
      <c r="EK52" s="82"/>
      <c r="EL52" s="82"/>
      <c r="EM52" s="82"/>
      <c r="EN52" s="82"/>
      <c r="EO52" s="82"/>
      <c r="EP52" s="82"/>
      <c r="EQ52" s="82"/>
      <c r="ER52" s="82"/>
      <c r="ES52" s="82"/>
      <c r="ET52" s="82"/>
      <c r="EU52" s="82"/>
      <c r="EV52" s="82"/>
      <c r="EW52" s="82"/>
      <c r="EX52" s="82"/>
    </row>
    <row r="53" spans="1:154" s="110" customFormat="1" x14ac:dyDescent="0.3">
      <c r="A53" s="27">
        <v>45</v>
      </c>
      <c r="B53" s="36" t="s">
        <v>44</v>
      </c>
      <c r="C53" s="37" t="s">
        <v>45</v>
      </c>
      <c r="D53" s="115">
        <v>116749177</v>
      </c>
      <c r="E53" s="89" t="s">
        <v>218</v>
      </c>
      <c r="F53" s="89" t="s">
        <v>219</v>
      </c>
      <c r="G53" s="90" t="s">
        <v>212</v>
      </c>
      <c r="H53" s="10" t="s">
        <v>147</v>
      </c>
      <c r="I53" s="10" t="s">
        <v>48</v>
      </c>
      <c r="J53" s="40" t="s">
        <v>47</v>
      </c>
      <c r="K53" s="91">
        <v>46058</v>
      </c>
      <c r="L53" s="42">
        <v>657.28</v>
      </c>
      <c r="M53" s="42">
        <v>25.28</v>
      </c>
      <c r="N53" s="92"/>
      <c r="O53" s="92">
        <v>1</v>
      </c>
      <c r="P53" s="93"/>
      <c r="Q53" s="93"/>
      <c r="R53" s="92">
        <v>1</v>
      </c>
      <c r="S53" s="93">
        <v>1</v>
      </c>
      <c r="T53" s="131" t="s">
        <v>38</v>
      </c>
      <c r="U53" s="92"/>
      <c r="V53" s="93">
        <v>1</v>
      </c>
      <c r="W53" s="92"/>
      <c r="X53" s="92">
        <v>1</v>
      </c>
      <c r="Y53" s="93">
        <v>1</v>
      </c>
      <c r="Z53" s="93">
        <v>1</v>
      </c>
      <c r="AA53" s="131" t="s">
        <v>38</v>
      </c>
      <c r="AB53" s="93"/>
      <c r="AC53" s="31">
        <f t="shared" si="17"/>
        <v>7</v>
      </c>
      <c r="AD53" s="34">
        <f t="shared" si="16"/>
        <v>176.96</v>
      </c>
      <c r="AE53" s="31">
        <f>COUNTIF(N55:AB55,"V")</f>
        <v>0</v>
      </c>
      <c r="AF53" s="31">
        <f t="shared" si="30"/>
        <v>0</v>
      </c>
      <c r="AG53" s="31">
        <v>33.18</v>
      </c>
      <c r="AH53" s="31">
        <f t="shared" si="15"/>
        <v>2</v>
      </c>
      <c r="AI53" s="31">
        <f t="shared" si="4"/>
        <v>66.36</v>
      </c>
      <c r="AJ53" s="79">
        <f t="shared" si="26"/>
        <v>0</v>
      </c>
      <c r="AK53" s="34">
        <f t="shared" si="18"/>
        <v>0</v>
      </c>
      <c r="AL53" s="80"/>
      <c r="AM53" s="34">
        <f t="shared" si="5"/>
        <v>0</v>
      </c>
      <c r="AN53" s="79">
        <v>0</v>
      </c>
      <c r="AO53" s="34">
        <f t="shared" si="19"/>
        <v>0</v>
      </c>
      <c r="AP53" s="34"/>
      <c r="AQ53" s="34"/>
      <c r="AR53" s="31"/>
      <c r="AS53" s="31"/>
      <c r="AT53" s="34">
        <f t="shared" si="6"/>
        <v>243.32</v>
      </c>
      <c r="AU53" s="34">
        <f t="shared" si="7"/>
        <v>23.723700000000001</v>
      </c>
      <c r="AV53" s="34">
        <f t="shared" si="8"/>
        <v>3.0415000000000001</v>
      </c>
      <c r="AW53" s="34"/>
      <c r="AX53" s="34"/>
      <c r="AY53" s="34">
        <v>0</v>
      </c>
      <c r="AZ53" s="34"/>
      <c r="BA53" s="34">
        <f t="shared" si="9"/>
        <v>26.7652</v>
      </c>
      <c r="BB53" s="34">
        <f t="shared" si="10"/>
        <v>216.5548</v>
      </c>
      <c r="BC53" s="81"/>
      <c r="BD53" s="34">
        <f t="shared" si="11"/>
        <v>26.527963</v>
      </c>
      <c r="BE53" s="34">
        <f t="shared" si="12"/>
        <v>3.2483219999999999</v>
      </c>
      <c r="BF53" s="165">
        <f t="shared" si="13"/>
        <v>4.5476508000000004</v>
      </c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82"/>
      <c r="DT53" s="82"/>
      <c r="DU53" s="82"/>
      <c r="DV53" s="82"/>
      <c r="DW53" s="82"/>
      <c r="DX53" s="82"/>
      <c r="DY53" s="82"/>
      <c r="DZ53" s="82"/>
      <c r="EA53" s="82"/>
      <c r="EB53" s="82"/>
      <c r="EC53" s="82"/>
      <c r="ED53" s="82"/>
      <c r="EE53" s="82"/>
      <c r="EF53" s="82"/>
      <c r="EG53" s="82"/>
      <c r="EH53" s="82"/>
      <c r="EI53" s="82"/>
      <c r="EJ53" s="82"/>
      <c r="EK53" s="82"/>
      <c r="EL53" s="82"/>
      <c r="EM53" s="82"/>
      <c r="EN53" s="82"/>
      <c r="EO53" s="82"/>
      <c r="EP53" s="82"/>
      <c r="EQ53" s="82"/>
      <c r="ER53" s="82"/>
      <c r="ES53" s="82"/>
      <c r="ET53" s="82"/>
      <c r="EU53" s="82"/>
      <c r="EV53" s="82"/>
      <c r="EW53" s="82"/>
      <c r="EX53" s="82"/>
    </row>
    <row r="54" spans="1:154" s="111" customFormat="1" x14ac:dyDescent="0.3">
      <c r="A54" s="27">
        <v>46</v>
      </c>
      <c r="B54" s="36" t="s">
        <v>44</v>
      </c>
      <c r="C54" s="37" t="s">
        <v>45</v>
      </c>
      <c r="D54" s="167">
        <v>116745472</v>
      </c>
      <c r="E54" s="117" t="s">
        <v>256</v>
      </c>
      <c r="F54" s="117" t="s">
        <v>257</v>
      </c>
      <c r="G54" s="88" t="s">
        <v>230</v>
      </c>
      <c r="H54" s="10" t="s">
        <v>147</v>
      </c>
      <c r="I54" s="10" t="s">
        <v>48</v>
      </c>
      <c r="J54" s="40" t="s">
        <v>47</v>
      </c>
      <c r="K54" s="51" t="s">
        <v>263</v>
      </c>
      <c r="L54" s="42">
        <v>657.28</v>
      </c>
      <c r="M54" s="42">
        <v>25.28</v>
      </c>
      <c r="N54" s="57">
        <v>1</v>
      </c>
      <c r="O54" s="57"/>
      <c r="P54" s="58">
        <v>1</v>
      </c>
      <c r="Q54" s="58"/>
      <c r="R54" s="57">
        <v>1</v>
      </c>
      <c r="S54" s="58"/>
      <c r="T54" s="128" t="s">
        <v>38</v>
      </c>
      <c r="U54" s="57"/>
      <c r="V54" s="58"/>
      <c r="W54" s="57">
        <v>1</v>
      </c>
      <c r="X54" s="57">
        <v>1</v>
      </c>
      <c r="Y54" s="58">
        <v>1</v>
      </c>
      <c r="Z54" s="58">
        <v>1</v>
      </c>
      <c r="AA54" s="128"/>
      <c r="AB54" s="58">
        <v>1</v>
      </c>
      <c r="AC54" s="31">
        <f t="shared" si="17"/>
        <v>8</v>
      </c>
      <c r="AD54" s="34">
        <f t="shared" si="16"/>
        <v>202.24</v>
      </c>
      <c r="AE54" s="31">
        <f t="shared" si="3"/>
        <v>0</v>
      </c>
      <c r="AF54" s="31">
        <f t="shared" si="30"/>
        <v>0</v>
      </c>
      <c r="AG54" s="31">
        <v>33.18</v>
      </c>
      <c r="AH54" s="31">
        <f t="shared" si="15"/>
        <v>1</v>
      </c>
      <c r="AI54" s="31">
        <f t="shared" si="4"/>
        <v>33.18</v>
      </c>
      <c r="AJ54" s="79">
        <f t="shared" si="26"/>
        <v>0</v>
      </c>
      <c r="AK54" s="34">
        <f t="shared" si="18"/>
        <v>0</v>
      </c>
      <c r="AL54" s="80"/>
      <c r="AM54" s="34">
        <f t="shared" si="5"/>
        <v>0</v>
      </c>
      <c r="AN54" s="79">
        <v>0</v>
      </c>
      <c r="AO54" s="34">
        <f t="shared" si="19"/>
        <v>0</v>
      </c>
      <c r="AP54" s="34"/>
      <c r="AQ54" s="34"/>
      <c r="AR54" s="31"/>
      <c r="AS54" s="31"/>
      <c r="AT54" s="34">
        <f t="shared" si="6"/>
        <v>235.42000000000002</v>
      </c>
      <c r="AU54" s="34">
        <f t="shared" si="7"/>
        <v>22.953450000000004</v>
      </c>
      <c r="AV54" s="34">
        <f t="shared" si="8"/>
        <v>2.9427500000000002</v>
      </c>
      <c r="AW54" s="34"/>
      <c r="AX54" s="34"/>
      <c r="AY54" s="34">
        <v>0</v>
      </c>
      <c r="AZ54" s="34"/>
      <c r="BA54" s="34">
        <f t="shared" si="9"/>
        <v>25.896200000000004</v>
      </c>
      <c r="BB54" s="34">
        <f t="shared" si="10"/>
        <v>209.52380000000002</v>
      </c>
      <c r="BC54" s="81"/>
      <c r="BD54" s="34">
        <f t="shared" si="11"/>
        <v>25.666665500000001</v>
      </c>
      <c r="BE54" s="34">
        <f t="shared" si="12"/>
        <v>3.1428570000000002</v>
      </c>
      <c r="BF54" s="165">
        <f t="shared" si="13"/>
        <v>4.3999998000000007</v>
      </c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82"/>
      <c r="DT54" s="82"/>
      <c r="DU54" s="82"/>
      <c r="DV54" s="82"/>
      <c r="DW54" s="82"/>
      <c r="DX54" s="82"/>
      <c r="DY54" s="82"/>
      <c r="DZ54" s="82"/>
      <c r="EA54" s="82"/>
      <c r="EB54" s="82"/>
      <c r="EC54" s="82"/>
      <c r="ED54" s="82"/>
      <c r="EE54" s="82"/>
      <c r="EF54" s="82"/>
      <c r="EG54" s="82"/>
      <c r="EH54" s="82"/>
      <c r="EI54" s="82"/>
      <c r="EJ54" s="82"/>
      <c r="EK54" s="82"/>
      <c r="EL54" s="82"/>
      <c r="EM54" s="82"/>
      <c r="EN54" s="82"/>
      <c r="EO54" s="82"/>
      <c r="EP54" s="82"/>
      <c r="EQ54" s="82"/>
      <c r="ER54" s="82"/>
      <c r="ES54" s="82"/>
      <c r="ET54" s="82"/>
      <c r="EU54" s="82"/>
      <c r="EV54" s="82"/>
      <c r="EW54" s="82"/>
      <c r="EX54" s="82"/>
    </row>
    <row r="55" spans="1:154" s="110" customFormat="1" x14ac:dyDescent="0.3">
      <c r="A55" s="27">
        <v>47</v>
      </c>
      <c r="B55" s="36" t="s">
        <v>44</v>
      </c>
      <c r="C55" s="37" t="s">
        <v>45</v>
      </c>
      <c r="D55" s="172">
        <v>118219336</v>
      </c>
      <c r="E55" s="173" t="s">
        <v>305</v>
      </c>
      <c r="F55" s="170" t="s">
        <v>306</v>
      </c>
      <c r="G55" s="155" t="s">
        <v>294</v>
      </c>
      <c r="H55" s="10" t="s">
        <v>147</v>
      </c>
      <c r="I55" s="10" t="s">
        <v>48</v>
      </c>
      <c r="J55" s="40" t="s">
        <v>47</v>
      </c>
      <c r="K55" s="174">
        <v>46118</v>
      </c>
      <c r="L55" s="42">
        <v>657.28</v>
      </c>
      <c r="M55" s="42">
        <v>25.28</v>
      </c>
      <c r="N55" s="157" t="s">
        <v>229</v>
      </c>
      <c r="O55" s="157" t="s">
        <v>229</v>
      </c>
      <c r="P55" s="158" t="s">
        <v>229</v>
      </c>
      <c r="Q55" s="158" t="s">
        <v>229</v>
      </c>
      <c r="R55" s="157" t="s">
        <v>229</v>
      </c>
      <c r="S55" s="158" t="s">
        <v>229</v>
      </c>
      <c r="T55" s="158" t="s">
        <v>229</v>
      </c>
      <c r="U55" s="100">
        <v>1</v>
      </c>
      <c r="V55" s="101"/>
      <c r="W55" s="100">
        <v>1</v>
      </c>
      <c r="X55" s="100">
        <v>1</v>
      </c>
      <c r="Y55" s="101">
        <v>1</v>
      </c>
      <c r="Z55" s="101">
        <v>1</v>
      </c>
      <c r="AA55" s="132"/>
      <c r="AB55" s="101">
        <v>1</v>
      </c>
      <c r="AC55" s="31">
        <f t="shared" si="17"/>
        <v>6</v>
      </c>
      <c r="AD55" s="34">
        <f t="shared" si="16"/>
        <v>151.68</v>
      </c>
      <c r="AE55" s="31">
        <f t="shared" si="3"/>
        <v>0</v>
      </c>
      <c r="AF55" s="31">
        <f t="shared" si="30"/>
        <v>0</v>
      </c>
      <c r="AG55" s="31">
        <v>33.18</v>
      </c>
      <c r="AH55" s="31">
        <f t="shared" si="15"/>
        <v>0</v>
      </c>
      <c r="AI55" s="31">
        <f t="shared" si="4"/>
        <v>0</v>
      </c>
      <c r="AJ55" s="79">
        <f t="shared" si="26"/>
        <v>0</v>
      </c>
      <c r="AK55" s="34">
        <f t="shared" si="18"/>
        <v>0</v>
      </c>
      <c r="AL55" s="138"/>
      <c r="AM55" s="34">
        <f t="shared" si="5"/>
        <v>0</v>
      </c>
      <c r="AN55" s="79">
        <v>0</v>
      </c>
      <c r="AO55" s="34">
        <f t="shared" si="19"/>
        <v>0</v>
      </c>
      <c r="AP55" s="122"/>
      <c r="AQ55" s="122"/>
      <c r="AR55" s="44"/>
      <c r="AS55" s="44"/>
      <c r="AT55" s="34">
        <f t="shared" si="6"/>
        <v>151.68</v>
      </c>
      <c r="AU55" s="34">
        <f t="shared" si="7"/>
        <v>14.788800000000002</v>
      </c>
      <c r="AV55" s="34">
        <f t="shared" si="8"/>
        <v>1.8960000000000001</v>
      </c>
      <c r="AW55" s="122"/>
      <c r="AX55" s="122"/>
      <c r="AY55" s="34">
        <v>0</v>
      </c>
      <c r="AZ55" s="122"/>
      <c r="BA55" s="34">
        <f t="shared" si="9"/>
        <v>16.684800000000003</v>
      </c>
      <c r="BB55" s="34">
        <f t="shared" si="10"/>
        <v>134.99520000000001</v>
      </c>
      <c r="BC55" s="139"/>
      <c r="BD55" s="34">
        <f t="shared" si="11"/>
        <v>16.536912000000001</v>
      </c>
      <c r="BE55" s="34">
        <f t="shared" si="12"/>
        <v>2.0249280000000001</v>
      </c>
      <c r="BF55" s="165">
        <f t="shared" si="13"/>
        <v>2.8348992000000006</v>
      </c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82"/>
      <c r="DP55" s="82"/>
      <c r="DQ55" s="82"/>
      <c r="DR55" s="82"/>
      <c r="DS55" s="82"/>
      <c r="DT55" s="82"/>
      <c r="DU55" s="82"/>
      <c r="DV55" s="82"/>
      <c r="DW55" s="82"/>
      <c r="DX55" s="82"/>
      <c r="DY55" s="82"/>
      <c r="DZ55" s="82"/>
      <c r="EA55" s="82"/>
      <c r="EB55" s="82"/>
      <c r="EC55" s="82"/>
      <c r="ED55" s="82"/>
      <c r="EE55" s="82"/>
      <c r="EF55" s="82"/>
      <c r="EG55" s="82"/>
      <c r="EH55" s="82"/>
      <c r="EI55" s="82"/>
      <c r="EJ55" s="82"/>
      <c r="EK55" s="82"/>
      <c r="EL55" s="82"/>
      <c r="EM55" s="82"/>
      <c r="EN55" s="82"/>
      <c r="EO55" s="82"/>
      <c r="EP55" s="82"/>
      <c r="EQ55" s="82"/>
      <c r="ER55" s="82"/>
      <c r="ES55" s="82"/>
      <c r="ET55" s="82"/>
      <c r="EU55" s="82"/>
      <c r="EV55" s="82"/>
      <c r="EW55" s="82"/>
      <c r="EX55" s="82"/>
    </row>
    <row r="56" spans="1:154" s="78" customFormat="1" x14ac:dyDescent="0.3">
      <c r="A56" s="27">
        <v>48</v>
      </c>
      <c r="B56" s="36" t="s">
        <v>44</v>
      </c>
      <c r="C56" s="37" t="s">
        <v>45</v>
      </c>
      <c r="D56" s="116">
        <v>118555093</v>
      </c>
      <c r="E56" s="97" t="s">
        <v>123</v>
      </c>
      <c r="F56" s="97" t="s">
        <v>124</v>
      </c>
      <c r="G56" s="98" t="s">
        <v>96</v>
      </c>
      <c r="H56" s="97" t="s">
        <v>148</v>
      </c>
      <c r="I56" s="97" t="s">
        <v>88</v>
      </c>
      <c r="J56" s="96" t="s">
        <v>47</v>
      </c>
      <c r="K56" s="99">
        <v>46055</v>
      </c>
      <c r="L56" s="42">
        <v>657.28</v>
      </c>
      <c r="M56" s="42">
        <v>25.28</v>
      </c>
      <c r="N56" s="100"/>
      <c r="O56" s="100"/>
      <c r="P56" s="101"/>
      <c r="Q56" s="101"/>
      <c r="R56" s="100" t="s">
        <v>59</v>
      </c>
      <c r="S56" s="101">
        <v>1</v>
      </c>
      <c r="T56" s="132"/>
      <c r="U56" s="100">
        <v>1</v>
      </c>
      <c r="V56" s="101"/>
      <c r="W56" s="100"/>
      <c r="X56" s="100">
        <v>1</v>
      </c>
      <c r="Y56" s="101"/>
      <c r="Z56" s="101"/>
      <c r="AA56" s="132"/>
      <c r="AB56" s="101"/>
      <c r="AC56" s="31">
        <f t="shared" si="17"/>
        <v>3</v>
      </c>
      <c r="AD56" s="34">
        <f t="shared" si="16"/>
        <v>75.84</v>
      </c>
      <c r="AE56" s="31">
        <f t="shared" si="3"/>
        <v>0</v>
      </c>
      <c r="AF56" s="31">
        <f t="shared" si="30"/>
        <v>0</v>
      </c>
      <c r="AG56" s="31">
        <v>33.18</v>
      </c>
      <c r="AH56" s="31">
        <f t="shared" si="15"/>
        <v>0</v>
      </c>
      <c r="AI56" s="31">
        <f t="shared" si="4"/>
        <v>0</v>
      </c>
      <c r="AJ56" s="79">
        <f t="shared" si="26"/>
        <v>1</v>
      </c>
      <c r="AK56" s="34">
        <f t="shared" si="18"/>
        <v>25.28</v>
      </c>
      <c r="AL56" s="80"/>
      <c r="AM56" s="34">
        <f t="shared" si="5"/>
        <v>0</v>
      </c>
      <c r="AN56" s="79">
        <v>0</v>
      </c>
      <c r="AO56" s="34">
        <f t="shared" si="19"/>
        <v>0</v>
      </c>
      <c r="AP56" s="34"/>
      <c r="AQ56" s="34"/>
      <c r="AR56" s="31"/>
      <c r="AS56" s="31"/>
      <c r="AT56" s="34">
        <f t="shared" si="6"/>
        <v>101.12</v>
      </c>
      <c r="AU56" s="34">
        <f t="shared" si="7"/>
        <v>9.8592000000000013</v>
      </c>
      <c r="AV56" s="34">
        <f t="shared" si="8"/>
        <v>1.2640000000000002</v>
      </c>
      <c r="AW56" s="34"/>
      <c r="AX56" s="34"/>
      <c r="AY56" s="34">
        <v>0</v>
      </c>
      <c r="AZ56" s="34"/>
      <c r="BA56" s="34">
        <f t="shared" si="9"/>
        <v>11.123200000000001</v>
      </c>
      <c r="BB56" s="34">
        <f t="shared" si="10"/>
        <v>89.996800000000007</v>
      </c>
      <c r="BC56" s="81"/>
      <c r="BD56" s="34">
        <f t="shared" si="11"/>
        <v>11.024608000000001</v>
      </c>
      <c r="BE56" s="34">
        <f t="shared" si="12"/>
        <v>1.349952</v>
      </c>
      <c r="BF56" s="165">
        <f t="shared" si="13"/>
        <v>1.8899328000000002</v>
      </c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  <c r="DK56" s="82"/>
      <c r="DL56" s="82"/>
      <c r="DM56" s="82"/>
      <c r="DN56" s="82"/>
      <c r="DO56" s="82"/>
      <c r="DP56" s="82"/>
      <c r="DQ56" s="82"/>
      <c r="DR56" s="82"/>
      <c r="DS56" s="82"/>
      <c r="DT56" s="82"/>
      <c r="DU56" s="82"/>
      <c r="DV56" s="82"/>
      <c r="DW56" s="82"/>
      <c r="DX56" s="82"/>
      <c r="DY56" s="82"/>
      <c r="DZ56" s="82"/>
      <c r="EA56" s="82"/>
      <c r="EB56" s="82"/>
      <c r="EC56" s="82"/>
      <c r="ED56" s="82"/>
      <c r="EE56" s="82"/>
      <c r="EF56" s="82"/>
      <c r="EG56" s="82"/>
      <c r="EH56" s="82"/>
      <c r="EI56" s="82"/>
      <c r="EJ56" s="82"/>
      <c r="EK56" s="82"/>
      <c r="EL56" s="82"/>
      <c r="EM56" s="82"/>
      <c r="EN56" s="82"/>
      <c r="EO56" s="82"/>
      <c r="EP56" s="82"/>
      <c r="EQ56" s="82"/>
      <c r="ER56" s="82"/>
      <c r="ES56" s="82"/>
      <c r="ET56" s="82"/>
      <c r="EU56" s="82"/>
      <c r="EV56" s="82"/>
      <c r="EW56" s="82"/>
      <c r="EX56" s="82"/>
    </row>
    <row r="57" spans="1:154" s="78" customFormat="1" x14ac:dyDescent="0.3">
      <c r="A57" s="27">
        <v>49</v>
      </c>
      <c r="B57" s="36" t="s">
        <v>44</v>
      </c>
      <c r="C57" s="37" t="s">
        <v>45</v>
      </c>
      <c r="D57" s="30">
        <v>118268473</v>
      </c>
      <c r="E57" s="10" t="s">
        <v>168</v>
      </c>
      <c r="F57" s="10" t="s">
        <v>169</v>
      </c>
      <c r="G57" s="55" t="s">
        <v>149</v>
      </c>
      <c r="H57" s="10" t="s">
        <v>148</v>
      </c>
      <c r="I57" s="10" t="s">
        <v>88</v>
      </c>
      <c r="J57" s="30" t="s">
        <v>47</v>
      </c>
      <c r="K57" s="41" t="s">
        <v>162</v>
      </c>
      <c r="L57" s="42">
        <v>657.28</v>
      </c>
      <c r="M57" s="42">
        <v>25.28</v>
      </c>
      <c r="N57" s="60">
        <v>1</v>
      </c>
      <c r="O57" s="60"/>
      <c r="P57" s="60">
        <v>1</v>
      </c>
      <c r="Q57" s="60"/>
      <c r="R57" s="60">
        <v>1</v>
      </c>
      <c r="S57" s="60">
        <v>1</v>
      </c>
      <c r="T57" s="130" t="s">
        <v>38</v>
      </c>
      <c r="U57" s="60">
        <v>1</v>
      </c>
      <c r="V57" s="60">
        <v>1</v>
      </c>
      <c r="W57" s="60">
        <v>1</v>
      </c>
      <c r="X57" s="61">
        <v>1</v>
      </c>
      <c r="Y57" s="61"/>
      <c r="Z57" s="61">
        <v>1</v>
      </c>
      <c r="AA57" s="129" t="s">
        <v>38</v>
      </c>
      <c r="AB57" s="58"/>
      <c r="AC57" s="31">
        <f t="shared" si="17"/>
        <v>9</v>
      </c>
      <c r="AD57" s="34">
        <f t="shared" si="16"/>
        <v>227.52</v>
      </c>
      <c r="AE57" s="31">
        <f t="shared" si="3"/>
        <v>0</v>
      </c>
      <c r="AF57" s="31">
        <f t="shared" si="30"/>
        <v>0</v>
      </c>
      <c r="AG57" s="31">
        <v>33.18</v>
      </c>
      <c r="AH57" s="31">
        <f t="shared" si="15"/>
        <v>2</v>
      </c>
      <c r="AI57" s="31">
        <f t="shared" si="4"/>
        <v>66.36</v>
      </c>
      <c r="AJ57" s="79">
        <f t="shared" si="26"/>
        <v>0</v>
      </c>
      <c r="AK57" s="34">
        <f t="shared" si="18"/>
        <v>0</v>
      </c>
      <c r="AL57" s="80"/>
      <c r="AM57" s="34">
        <f t="shared" si="5"/>
        <v>0</v>
      </c>
      <c r="AN57" s="79">
        <v>0</v>
      </c>
      <c r="AO57" s="34">
        <f t="shared" si="19"/>
        <v>0</v>
      </c>
      <c r="AP57" s="34"/>
      <c r="AQ57" s="34"/>
      <c r="AR57" s="31"/>
      <c r="AS57" s="31"/>
      <c r="AT57" s="34">
        <f t="shared" si="6"/>
        <v>293.88</v>
      </c>
      <c r="AU57" s="34">
        <f t="shared" si="7"/>
        <v>28.653300000000002</v>
      </c>
      <c r="AV57" s="34">
        <f t="shared" si="8"/>
        <v>3.6735000000000002</v>
      </c>
      <c r="AW57" s="34"/>
      <c r="AX57" s="34"/>
      <c r="AY57" s="34">
        <v>0</v>
      </c>
      <c r="AZ57" s="34"/>
      <c r="BA57" s="34">
        <f t="shared" si="9"/>
        <v>32.326799999999999</v>
      </c>
      <c r="BB57" s="34">
        <f t="shared" si="10"/>
        <v>261.5532</v>
      </c>
      <c r="BC57" s="81"/>
      <c r="BD57" s="34">
        <f t="shared" si="11"/>
        <v>32.040267</v>
      </c>
      <c r="BE57" s="34">
        <f t="shared" si="12"/>
        <v>3.923298</v>
      </c>
      <c r="BF57" s="165">
        <f t="shared" si="13"/>
        <v>5.4926172000000006</v>
      </c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  <c r="DK57" s="82"/>
      <c r="DL57" s="82"/>
      <c r="DM57" s="82"/>
      <c r="DN57" s="82"/>
      <c r="DO57" s="82"/>
      <c r="DP57" s="82"/>
      <c r="DQ57" s="82"/>
      <c r="DR57" s="82"/>
      <c r="DS57" s="82"/>
      <c r="DT57" s="82"/>
      <c r="DU57" s="82"/>
      <c r="DV57" s="82"/>
      <c r="DW57" s="82"/>
      <c r="DX57" s="82"/>
      <c r="DY57" s="82"/>
      <c r="DZ57" s="82"/>
      <c r="EA57" s="82"/>
      <c r="EB57" s="82"/>
      <c r="EC57" s="82"/>
      <c r="ED57" s="82"/>
      <c r="EE57" s="82"/>
      <c r="EF57" s="82"/>
      <c r="EG57" s="82"/>
      <c r="EH57" s="82"/>
      <c r="EI57" s="82"/>
      <c r="EJ57" s="82"/>
      <c r="EK57" s="82"/>
      <c r="EL57" s="82"/>
      <c r="EM57" s="82"/>
      <c r="EN57" s="82"/>
      <c r="EO57" s="82"/>
      <c r="EP57" s="82"/>
      <c r="EQ57" s="82"/>
      <c r="ER57" s="82"/>
      <c r="ES57" s="82"/>
      <c r="ET57" s="82"/>
      <c r="EU57" s="82"/>
      <c r="EV57" s="82"/>
      <c r="EW57" s="82"/>
      <c r="EX57" s="82"/>
    </row>
    <row r="58" spans="1:154" s="78" customFormat="1" x14ac:dyDescent="0.3">
      <c r="A58" s="27">
        <v>50</v>
      </c>
      <c r="B58" s="36" t="s">
        <v>44</v>
      </c>
      <c r="C58" s="37" t="s">
        <v>45</v>
      </c>
      <c r="D58" s="30">
        <v>117851477</v>
      </c>
      <c r="E58" s="10" t="s">
        <v>68</v>
      </c>
      <c r="F58" s="10" t="s">
        <v>69</v>
      </c>
      <c r="G58" s="59" t="s">
        <v>67</v>
      </c>
      <c r="H58" s="10" t="s">
        <v>148</v>
      </c>
      <c r="I58" s="10" t="s">
        <v>88</v>
      </c>
      <c r="J58" s="30" t="s">
        <v>47</v>
      </c>
      <c r="K58" s="41" t="s">
        <v>151</v>
      </c>
      <c r="L58" s="42">
        <v>657.28</v>
      </c>
      <c r="M58" s="42">
        <v>25.28</v>
      </c>
      <c r="N58" s="60">
        <v>1</v>
      </c>
      <c r="O58" s="64"/>
      <c r="P58" s="64">
        <v>1</v>
      </c>
      <c r="Q58" s="64"/>
      <c r="R58" s="64">
        <v>1</v>
      </c>
      <c r="S58" s="64">
        <v>1</v>
      </c>
      <c r="T58" s="133"/>
      <c r="U58" s="64">
        <v>1</v>
      </c>
      <c r="V58" s="64">
        <v>1</v>
      </c>
      <c r="W58" s="64">
        <v>1</v>
      </c>
      <c r="X58" s="61">
        <v>1</v>
      </c>
      <c r="Y58" s="45">
        <v>1</v>
      </c>
      <c r="Z58" s="64"/>
      <c r="AA58" s="129" t="s">
        <v>38</v>
      </c>
      <c r="AB58" s="58">
        <v>1</v>
      </c>
      <c r="AC58" s="31">
        <f t="shared" si="17"/>
        <v>10</v>
      </c>
      <c r="AD58" s="34">
        <f t="shared" si="16"/>
        <v>252.8</v>
      </c>
      <c r="AE58" s="31">
        <f t="shared" si="3"/>
        <v>0</v>
      </c>
      <c r="AF58" s="31">
        <f t="shared" si="30"/>
        <v>0</v>
      </c>
      <c r="AG58" s="31">
        <v>33.18</v>
      </c>
      <c r="AH58" s="31">
        <f t="shared" si="15"/>
        <v>1</v>
      </c>
      <c r="AI58" s="31">
        <f t="shared" si="4"/>
        <v>33.18</v>
      </c>
      <c r="AJ58" s="79">
        <f t="shared" si="26"/>
        <v>0</v>
      </c>
      <c r="AK58" s="34">
        <f t="shared" si="18"/>
        <v>0</v>
      </c>
      <c r="AL58" s="80"/>
      <c r="AM58" s="34">
        <f t="shared" si="5"/>
        <v>0</v>
      </c>
      <c r="AN58" s="79">
        <v>0</v>
      </c>
      <c r="AO58" s="34">
        <f t="shared" si="19"/>
        <v>0</v>
      </c>
      <c r="AP58" s="34"/>
      <c r="AQ58" s="34"/>
      <c r="AR58" s="31"/>
      <c r="AS58" s="31"/>
      <c r="AT58" s="34">
        <f t="shared" si="6"/>
        <v>285.98</v>
      </c>
      <c r="AU58" s="34">
        <f t="shared" si="7"/>
        <v>27.883050000000004</v>
      </c>
      <c r="AV58" s="34">
        <f t="shared" si="8"/>
        <v>3.5747500000000003</v>
      </c>
      <c r="AW58" s="34"/>
      <c r="AX58" s="34"/>
      <c r="AY58" s="34">
        <v>0</v>
      </c>
      <c r="AZ58" s="34"/>
      <c r="BA58" s="34">
        <f t="shared" si="9"/>
        <v>31.457800000000006</v>
      </c>
      <c r="BB58" s="34">
        <f t="shared" si="10"/>
        <v>254.5222</v>
      </c>
      <c r="BC58" s="81"/>
      <c r="BD58" s="34">
        <f t="shared" si="11"/>
        <v>31.178969500000001</v>
      </c>
      <c r="BE58" s="34">
        <f t="shared" si="12"/>
        <v>3.8178329999999998</v>
      </c>
      <c r="BF58" s="165">
        <f t="shared" si="13"/>
        <v>5.3449662</v>
      </c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2"/>
      <c r="DQ58" s="82"/>
      <c r="DR58" s="82"/>
      <c r="DS58" s="82"/>
      <c r="DT58" s="82"/>
      <c r="DU58" s="82"/>
      <c r="DV58" s="82"/>
      <c r="DW58" s="82"/>
      <c r="DX58" s="82"/>
      <c r="DY58" s="82"/>
      <c r="DZ58" s="82"/>
      <c r="EA58" s="82"/>
      <c r="EB58" s="82"/>
      <c r="EC58" s="82"/>
      <c r="ED58" s="82"/>
      <c r="EE58" s="82"/>
      <c r="EF58" s="82"/>
      <c r="EG58" s="82"/>
      <c r="EH58" s="82"/>
      <c r="EI58" s="82"/>
      <c r="EJ58" s="82"/>
      <c r="EK58" s="82"/>
      <c r="EL58" s="82"/>
      <c r="EM58" s="82"/>
      <c r="EN58" s="82"/>
      <c r="EO58" s="82"/>
      <c r="EP58" s="82"/>
      <c r="EQ58" s="82"/>
      <c r="ER58" s="82"/>
      <c r="ES58" s="82"/>
      <c r="ET58" s="82"/>
      <c r="EU58" s="82"/>
      <c r="EV58" s="82"/>
      <c r="EW58" s="82"/>
      <c r="EX58" s="82"/>
    </row>
    <row r="59" spans="1:154" s="78" customFormat="1" x14ac:dyDescent="0.3">
      <c r="A59" s="27">
        <v>51</v>
      </c>
      <c r="B59" s="36" t="s">
        <v>44</v>
      </c>
      <c r="C59" s="37" t="s">
        <v>45</v>
      </c>
      <c r="D59" s="30">
        <v>118555218</v>
      </c>
      <c r="E59" s="10" t="s">
        <v>120</v>
      </c>
      <c r="F59" s="10" t="s">
        <v>121</v>
      </c>
      <c r="G59" s="59" t="s">
        <v>213</v>
      </c>
      <c r="H59" s="10" t="s">
        <v>148</v>
      </c>
      <c r="I59" s="10" t="s">
        <v>88</v>
      </c>
      <c r="J59" s="30" t="s">
        <v>47</v>
      </c>
      <c r="K59" s="41">
        <v>46055</v>
      </c>
      <c r="L59" s="42">
        <v>657.28</v>
      </c>
      <c r="M59" s="42">
        <v>25.28</v>
      </c>
      <c r="N59" s="61">
        <v>1</v>
      </c>
      <c r="O59" s="64">
        <v>1</v>
      </c>
      <c r="P59" s="64"/>
      <c r="Q59" s="64"/>
      <c r="R59" s="61">
        <v>1</v>
      </c>
      <c r="S59" s="61">
        <v>1</v>
      </c>
      <c r="T59" s="129" t="s">
        <v>38</v>
      </c>
      <c r="U59" s="60">
        <v>1</v>
      </c>
      <c r="V59" s="61"/>
      <c r="W59" s="60">
        <v>1</v>
      </c>
      <c r="X59" s="61"/>
      <c r="Y59" s="61">
        <v>1</v>
      </c>
      <c r="Z59" s="60">
        <v>1</v>
      </c>
      <c r="AA59" s="129" t="s">
        <v>38</v>
      </c>
      <c r="AB59" s="58">
        <v>1</v>
      </c>
      <c r="AC59" s="31">
        <f t="shared" si="17"/>
        <v>9</v>
      </c>
      <c r="AD59" s="34">
        <f t="shared" si="16"/>
        <v>227.52</v>
      </c>
      <c r="AE59" s="31">
        <f t="shared" si="3"/>
        <v>0</v>
      </c>
      <c r="AF59" s="31">
        <f t="shared" si="30"/>
        <v>0</v>
      </c>
      <c r="AG59" s="31">
        <v>33.18</v>
      </c>
      <c r="AH59" s="31">
        <f t="shared" si="15"/>
        <v>2</v>
      </c>
      <c r="AI59" s="31">
        <f t="shared" si="4"/>
        <v>66.36</v>
      </c>
      <c r="AJ59" s="79">
        <f t="shared" si="26"/>
        <v>0</v>
      </c>
      <c r="AK59" s="34">
        <f t="shared" si="18"/>
        <v>0</v>
      </c>
      <c r="AL59" s="80"/>
      <c r="AM59" s="34">
        <f t="shared" si="5"/>
        <v>0</v>
      </c>
      <c r="AN59" s="79">
        <v>0</v>
      </c>
      <c r="AO59" s="34">
        <f t="shared" si="19"/>
        <v>0</v>
      </c>
      <c r="AP59" s="34"/>
      <c r="AQ59" s="34"/>
      <c r="AR59" s="31"/>
      <c r="AS59" s="31"/>
      <c r="AT59" s="34">
        <f t="shared" si="6"/>
        <v>293.88</v>
      </c>
      <c r="AU59" s="34">
        <f t="shared" si="7"/>
        <v>28.653300000000002</v>
      </c>
      <c r="AV59" s="34">
        <f t="shared" si="8"/>
        <v>3.6735000000000002</v>
      </c>
      <c r="AW59" s="34"/>
      <c r="AX59" s="34"/>
      <c r="AY59" s="34">
        <v>0</v>
      </c>
      <c r="AZ59" s="34"/>
      <c r="BA59" s="34">
        <f t="shared" si="9"/>
        <v>32.326799999999999</v>
      </c>
      <c r="BB59" s="34">
        <f t="shared" si="10"/>
        <v>261.5532</v>
      </c>
      <c r="BC59" s="81"/>
      <c r="BD59" s="34">
        <f t="shared" si="11"/>
        <v>32.040267</v>
      </c>
      <c r="BE59" s="34">
        <f t="shared" si="12"/>
        <v>3.923298</v>
      </c>
      <c r="BF59" s="165">
        <f t="shared" si="13"/>
        <v>5.4926172000000006</v>
      </c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  <c r="DK59" s="82"/>
      <c r="DL59" s="82"/>
      <c r="DM59" s="82"/>
      <c r="DN59" s="82"/>
      <c r="DO59" s="82"/>
      <c r="DP59" s="82"/>
      <c r="DQ59" s="82"/>
      <c r="DR59" s="82"/>
      <c r="DS59" s="82"/>
      <c r="DT59" s="82"/>
      <c r="DU59" s="82"/>
      <c r="DV59" s="82"/>
      <c r="DW59" s="82"/>
      <c r="DX59" s="82"/>
      <c r="DY59" s="82"/>
      <c r="DZ59" s="82"/>
      <c r="EA59" s="82"/>
      <c r="EB59" s="82"/>
      <c r="EC59" s="82"/>
      <c r="ED59" s="82"/>
      <c r="EE59" s="82"/>
      <c r="EF59" s="82"/>
      <c r="EG59" s="82"/>
      <c r="EH59" s="82"/>
      <c r="EI59" s="82"/>
      <c r="EJ59" s="82"/>
      <c r="EK59" s="82"/>
      <c r="EL59" s="82"/>
      <c r="EM59" s="82"/>
      <c r="EN59" s="82"/>
      <c r="EO59" s="82"/>
      <c r="EP59" s="82"/>
      <c r="EQ59" s="82"/>
      <c r="ER59" s="82"/>
      <c r="ES59" s="82"/>
      <c r="ET59" s="82"/>
      <c r="EU59" s="82"/>
      <c r="EV59" s="82"/>
      <c r="EW59" s="82"/>
      <c r="EX59" s="82"/>
    </row>
    <row r="60" spans="1:154" s="78" customFormat="1" x14ac:dyDescent="0.3">
      <c r="A60" s="27">
        <v>52</v>
      </c>
      <c r="B60" s="36" t="s">
        <v>44</v>
      </c>
      <c r="C60" s="37" t="s">
        <v>45</v>
      </c>
      <c r="D60" s="30">
        <v>117043000</v>
      </c>
      <c r="E60" s="10" t="s">
        <v>139</v>
      </c>
      <c r="F60" s="102" t="s">
        <v>140</v>
      </c>
      <c r="G60" s="160" t="s">
        <v>138</v>
      </c>
      <c r="H60" s="10" t="s">
        <v>148</v>
      </c>
      <c r="I60" s="10" t="s">
        <v>88</v>
      </c>
      <c r="J60" s="30" t="s">
        <v>47</v>
      </c>
      <c r="K60" s="41">
        <v>46056</v>
      </c>
      <c r="L60" s="42">
        <v>657.28</v>
      </c>
      <c r="M60" s="42">
        <v>25.28</v>
      </c>
      <c r="N60" s="64">
        <v>1</v>
      </c>
      <c r="O60" s="64">
        <v>1</v>
      </c>
      <c r="P60" s="64">
        <v>1</v>
      </c>
      <c r="Q60" s="64">
        <v>1</v>
      </c>
      <c r="R60" s="61">
        <v>1</v>
      </c>
      <c r="S60" s="61">
        <v>1</v>
      </c>
      <c r="T60" s="129" t="s">
        <v>38</v>
      </c>
      <c r="U60" s="60">
        <v>1</v>
      </c>
      <c r="V60" s="61">
        <v>1</v>
      </c>
      <c r="W60" s="60"/>
      <c r="X60" s="61">
        <v>1</v>
      </c>
      <c r="Y60" s="61">
        <v>1</v>
      </c>
      <c r="Z60" s="61"/>
      <c r="AA60" s="129" t="s">
        <v>38</v>
      </c>
      <c r="AB60" s="58">
        <v>1</v>
      </c>
      <c r="AC60" s="31">
        <f t="shared" si="17"/>
        <v>11</v>
      </c>
      <c r="AD60" s="34">
        <f t="shared" si="16"/>
        <v>278.08000000000004</v>
      </c>
      <c r="AE60" s="31">
        <f t="shared" si="3"/>
        <v>0</v>
      </c>
      <c r="AF60" s="31">
        <f t="shared" si="30"/>
        <v>0</v>
      </c>
      <c r="AG60" s="31">
        <v>33.18</v>
      </c>
      <c r="AH60" s="31">
        <f t="shared" si="15"/>
        <v>2</v>
      </c>
      <c r="AI60" s="31">
        <f t="shared" si="4"/>
        <v>66.36</v>
      </c>
      <c r="AJ60" s="79">
        <f t="shared" si="26"/>
        <v>0</v>
      </c>
      <c r="AK60" s="34">
        <f t="shared" si="18"/>
        <v>0</v>
      </c>
      <c r="AL60" s="80"/>
      <c r="AM60" s="34">
        <f t="shared" si="5"/>
        <v>0</v>
      </c>
      <c r="AN60" s="79">
        <v>0</v>
      </c>
      <c r="AO60" s="34">
        <f t="shared" si="19"/>
        <v>0</v>
      </c>
      <c r="AP60" s="34"/>
      <c r="AQ60" s="34"/>
      <c r="AR60" s="31"/>
      <c r="AS60" s="31"/>
      <c r="AT60" s="34">
        <f t="shared" si="6"/>
        <v>344.44000000000005</v>
      </c>
      <c r="AU60" s="34">
        <f t="shared" si="7"/>
        <v>33.582900000000009</v>
      </c>
      <c r="AV60" s="34">
        <f t="shared" si="8"/>
        <v>4.3055000000000012</v>
      </c>
      <c r="AW60" s="34"/>
      <c r="AX60" s="34"/>
      <c r="AY60" s="34">
        <v>0</v>
      </c>
      <c r="AZ60" s="34"/>
      <c r="BA60" s="34">
        <f t="shared" si="9"/>
        <v>37.888400000000011</v>
      </c>
      <c r="BB60" s="34">
        <f t="shared" si="10"/>
        <v>306.55160000000006</v>
      </c>
      <c r="BC60" s="81"/>
      <c r="BD60" s="34">
        <f t="shared" si="11"/>
        <v>37.552571000000007</v>
      </c>
      <c r="BE60" s="34">
        <f t="shared" si="12"/>
        <v>4.5982740000000009</v>
      </c>
      <c r="BF60" s="165">
        <f t="shared" si="13"/>
        <v>6.4375836000000017</v>
      </c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82"/>
      <c r="DL60" s="82"/>
      <c r="DM60" s="82"/>
      <c r="DN60" s="82"/>
      <c r="DO60" s="82"/>
      <c r="DP60" s="82"/>
      <c r="DQ60" s="82"/>
      <c r="DR60" s="82"/>
      <c r="DS60" s="82"/>
      <c r="DT60" s="82"/>
      <c r="DU60" s="82"/>
      <c r="DV60" s="82"/>
      <c r="DW60" s="82"/>
      <c r="DX60" s="82"/>
      <c r="DY60" s="82"/>
      <c r="DZ60" s="82"/>
      <c r="EA60" s="82"/>
      <c r="EB60" s="82"/>
      <c r="EC60" s="82"/>
      <c r="ED60" s="82"/>
      <c r="EE60" s="82"/>
      <c r="EF60" s="82"/>
      <c r="EG60" s="82"/>
      <c r="EH60" s="82"/>
      <c r="EI60" s="82"/>
      <c r="EJ60" s="82"/>
      <c r="EK60" s="82"/>
      <c r="EL60" s="82"/>
      <c r="EM60" s="82"/>
      <c r="EN60" s="82"/>
      <c r="EO60" s="82"/>
      <c r="EP60" s="82"/>
      <c r="EQ60" s="82"/>
      <c r="ER60" s="82"/>
      <c r="ES60" s="82"/>
      <c r="ET60" s="82"/>
      <c r="EU60" s="82"/>
      <c r="EV60" s="82"/>
      <c r="EW60" s="82"/>
      <c r="EX60" s="82"/>
    </row>
    <row r="61" spans="1:154" s="78" customFormat="1" x14ac:dyDescent="0.3">
      <c r="A61" s="27">
        <v>53</v>
      </c>
      <c r="B61" s="36" t="s">
        <v>44</v>
      </c>
      <c r="C61" s="37" t="s">
        <v>45</v>
      </c>
      <c r="D61" s="30">
        <v>118632330</v>
      </c>
      <c r="E61" s="10" t="s">
        <v>132</v>
      </c>
      <c r="F61" s="10" t="s">
        <v>134</v>
      </c>
      <c r="G61" s="55" t="s">
        <v>127</v>
      </c>
      <c r="H61" s="10" t="s">
        <v>148</v>
      </c>
      <c r="I61" s="10" t="s">
        <v>88</v>
      </c>
      <c r="J61" s="30" t="s">
        <v>47</v>
      </c>
      <c r="K61" s="41" t="s">
        <v>151</v>
      </c>
      <c r="L61" s="42">
        <v>657.28</v>
      </c>
      <c r="M61" s="42">
        <v>25.28</v>
      </c>
      <c r="N61" s="60"/>
      <c r="O61" s="64">
        <v>1</v>
      </c>
      <c r="P61" s="61"/>
      <c r="Q61" s="60">
        <v>1</v>
      </c>
      <c r="R61" s="61">
        <v>1</v>
      </c>
      <c r="S61" s="61">
        <v>1</v>
      </c>
      <c r="T61" s="129" t="s">
        <v>38</v>
      </c>
      <c r="U61" s="60"/>
      <c r="V61" s="60"/>
      <c r="W61" s="61">
        <v>1</v>
      </c>
      <c r="X61" s="61"/>
      <c r="Y61" s="61">
        <v>1</v>
      </c>
      <c r="Z61" s="61">
        <v>1</v>
      </c>
      <c r="AA61" s="129" t="s">
        <v>38</v>
      </c>
      <c r="AB61" s="58"/>
      <c r="AC61" s="31">
        <f t="shared" si="17"/>
        <v>7</v>
      </c>
      <c r="AD61" s="34">
        <f t="shared" si="16"/>
        <v>176.96</v>
      </c>
      <c r="AE61" s="31">
        <f t="shared" si="3"/>
        <v>0</v>
      </c>
      <c r="AF61" s="31">
        <f t="shared" si="30"/>
        <v>0</v>
      </c>
      <c r="AG61" s="31">
        <v>33.18</v>
      </c>
      <c r="AH61" s="31">
        <f t="shared" si="15"/>
        <v>2</v>
      </c>
      <c r="AI61" s="31">
        <f t="shared" si="4"/>
        <v>66.36</v>
      </c>
      <c r="AJ61" s="79">
        <f t="shared" si="26"/>
        <v>0</v>
      </c>
      <c r="AK61" s="34">
        <f t="shared" si="18"/>
        <v>0</v>
      </c>
      <c r="AL61" s="80"/>
      <c r="AM61" s="34">
        <f t="shared" si="5"/>
        <v>0</v>
      </c>
      <c r="AN61" s="79">
        <v>0</v>
      </c>
      <c r="AO61" s="34">
        <f t="shared" si="19"/>
        <v>0</v>
      </c>
      <c r="AP61" s="34"/>
      <c r="AQ61" s="34"/>
      <c r="AR61" s="31"/>
      <c r="AS61" s="31"/>
      <c r="AT61" s="34">
        <f t="shared" si="6"/>
        <v>243.32</v>
      </c>
      <c r="AU61" s="34">
        <f t="shared" si="7"/>
        <v>23.723700000000001</v>
      </c>
      <c r="AV61" s="34">
        <f t="shared" si="8"/>
        <v>3.0415000000000001</v>
      </c>
      <c r="AW61" s="34"/>
      <c r="AX61" s="34"/>
      <c r="AY61" s="34">
        <v>0</v>
      </c>
      <c r="AZ61" s="34"/>
      <c r="BA61" s="34">
        <f t="shared" si="9"/>
        <v>26.7652</v>
      </c>
      <c r="BB61" s="34">
        <f t="shared" si="10"/>
        <v>216.5548</v>
      </c>
      <c r="BC61" s="81"/>
      <c r="BD61" s="34">
        <f t="shared" si="11"/>
        <v>26.527963</v>
      </c>
      <c r="BE61" s="34">
        <f t="shared" si="12"/>
        <v>3.2483219999999999</v>
      </c>
      <c r="BF61" s="165">
        <f t="shared" si="13"/>
        <v>4.5476508000000004</v>
      </c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82"/>
      <c r="DH61" s="82"/>
      <c r="DI61" s="82"/>
      <c r="DJ61" s="82"/>
      <c r="DK61" s="82"/>
      <c r="DL61" s="82"/>
      <c r="DM61" s="82"/>
      <c r="DN61" s="82"/>
      <c r="DO61" s="82"/>
      <c r="DP61" s="82"/>
      <c r="DQ61" s="82"/>
      <c r="DR61" s="82"/>
      <c r="DS61" s="82"/>
      <c r="DT61" s="82"/>
      <c r="DU61" s="82"/>
      <c r="DV61" s="82"/>
      <c r="DW61" s="82"/>
      <c r="DX61" s="82"/>
      <c r="DY61" s="82"/>
      <c r="DZ61" s="82"/>
      <c r="EA61" s="82"/>
      <c r="EB61" s="82"/>
      <c r="EC61" s="82"/>
      <c r="ED61" s="82"/>
      <c r="EE61" s="82"/>
      <c r="EF61" s="82"/>
      <c r="EG61" s="82"/>
      <c r="EH61" s="82"/>
      <c r="EI61" s="82"/>
      <c r="EJ61" s="82"/>
      <c r="EK61" s="82"/>
      <c r="EL61" s="82"/>
      <c r="EM61" s="82"/>
      <c r="EN61" s="82"/>
      <c r="EO61" s="82"/>
      <c r="EP61" s="82"/>
      <c r="EQ61" s="82"/>
      <c r="ER61" s="82"/>
      <c r="ES61" s="82"/>
      <c r="ET61" s="82"/>
      <c r="EU61" s="82"/>
      <c r="EV61" s="82"/>
      <c r="EW61" s="82"/>
      <c r="EX61" s="82"/>
    </row>
    <row r="62" spans="1:154" s="78" customFormat="1" x14ac:dyDescent="0.3">
      <c r="A62" s="27">
        <v>54</v>
      </c>
      <c r="B62" s="36" t="s">
        <v>44</v>
      </c>
      <c r="C62" s="37" t="s">
        <v>45</v>
      </c>
      <c r="D62" s="30">
        <v>117850081</v>
      </c>
      <c r="E62" s="10" t="s">
        <v>117</v>
      </c>
      <c r="F62" s="10" t="s">
        <v>118</v>
      </c>
      <c r="G62" s="55" t="s">
        <v>119</v>
      </c>
      <c r="H62" s="10" t="s">
        <v>148</v>
      </c>
      <c r="I62" s="10" t="s">
        <v>88</v>
      </c>
      <c r="J62" s="30" t="s">
        <v>70</v>
      </c>
      <c r="K62" s="41">
        <v>46083</v>
      </c>
      <c r="L62" s="42">
        <v>657.28</v>
      </c>
      <c r="M62" s="42">
        <v>25.28</v>
      </c>
      <c r="N62" s="60"/>
      <c r="O62" s="61">
        <v>1</v>
      </c>
      <c r="P62" s="60"/>
      <c r="Q62" s="64">
        <v>1</v>
      </c>
      <c r="R62" s="61">
        <v>1</v>
      </c>
      <c r="S62" s="61">
        <v>1</v>
      </c>
      <c r="T62" s="129" t="s">
        <v>38</v>
      </c>
      <c r="U62" s="60"/>
      <c r="V62" s="61">
        <v>1</v>
      </c>
      <c r="W62" s="60">
        <v>1</v>
      </c>
      <c r="X62" s="61">
        <v>1</v>
      </c>
      <c r="Y62" s="61">
        <v>1</v>
      </c>
      <c r="Z62" s="61"/>
      <c r="AA62" s="130" t="s">
        <v>38</v>
      </c>
      <c r="AB62" s="57">
        <v>1</v>
      </c>
      <c r="AC62" s="31">
        <f t="shared" si="17"/>
        <v>9</v>
      </c>
      <c r="AD62" s="34">
        <f t="shared" si="16"/>
        <v>227.52</v>
      </c>
      <c r="AE62" s="31">
        <f t="shared" si="3"/>
        <v>0</v>
      </c>
      <c r="AF62" s="31">
        <f t="shared" si="30"/>
        <v>0</v>
      </c>
      <c r="AG62" s="31">
        <v>33.18</v>
      </c>
      <c r="AH62" s="31">
        <f t="shared" si="15"/>
        <v>2</v>
      </c>
      <c r="AI62" s="31">
        <f t="shared" si="4"/>
        <v>66.36</v>
      </c>
      <c r="AJ62" s="79">
        <f t="shared" si="26"/>
        <v>0</v>
      </c>
      <c r="AK62" s="34">
        <f t="shared" si="18"/>
        <v>0</v>
      </c>
      <c r="AL62" s="80"/>
      <c r="AM62" s="34">
        <f t="shared" si="5"/>
        <v>0</v>
      </c>
      <c r="AN62" s="79">
        <v>0</v>
      </c>
      <c r="AO62" s="34">
        <f t="shared" si="19"/>
        <v>0</v>
      </c>
      <c r="AP62" s="34"/>
      <c r="AQ62" s="34"/>
      <c r="AR62" s="31"/>
      <c r="AS62" s="31"/>
      <c r="AT62" s="34">
        <f t="shared" si="6"/>
        <v>293.88</v>
      </c>
      <c r="AU62" s="34">
        <f t="shared" si="7"/>
        <v>28.653300000000002</v>
      </c>
      <c r="AV62" s="34">
        <f t="shared" si="8"/>
        <v>3.6735000000000002</v>
      </c>
      <c r="AW62" s="34"/>
      <c r="AX62" s="34"/>
      <c r="AY62" s="34">
        <v>0</v>
      </c>
      <c r="AZ62" s="34"/>
      <c r="BA62" s="34">
        <f t="shared" si="9"/>
        <v>32.326799999999999</v>
      </c>
      <c r="BB62" s="34">
        <f t="shared" si="10"/>
        <v>261.5532</v>
      </c>
      <c r="BC62" s="81"/>
      <c r="BD62" s="34">
        <f t="shared" si="11"/>
        <v>32.040267</v>
      </c>
      <c r="BE62" s="34">
        <f t="shared" si="12"/>
        <v>3.923298</v>
      </c>
      <c r="BF62" s="165">
        <f t="shared" si="13"/>
        <v>5.4926172000000006</v>
      </c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2"/>
      <c r="DE62" s="82"/>
      <c r="DF62" s="82"/>
      <c r="DG62" s="82"/>
      <c r="DH62" s="82"/>
      <c r="DI62" s="82"/>
      <c r="DJ62" s="82"/>
      <c r="DK62" s="82"/>
      <c r="DL62" s="82"/>
      <c r="DM62" s="82"/>
      <c r="DN62" s="82"/>
      <c r="DO62" s="82"/>
      <c r="DP62" s="82"/>
      <c r="DQ62" s="82"/>
      <c r="DR62" s="82"/>
      <c r="DS62" s="82"/>
      <c r="DT62" s="82"/>
      <c r="DU62" s="82"/>
      <c r="DV62" s="82"/>
      <c r="DW62" s="82"/>
      <c r="DX62" s="82"/>
      <c r="DY62" s="82"/>
      <c r="DZ62" s="82"/>
      <c r="EA62" s="82"/>
      <c r="EB62" s="82"/>
      <c r="EC62" s="82"/>
      <c r="ED62" s="82"/>
      <c r="EE62" s="82"/>
      <c r="EF62" s="82"/>
      <c r="EG62" s="82"/>
      <c r="EH62" s="82"/>
      <c r="EI62" s="82"/>
      <c r="EJ62" s="82"/>
      <c r="EK62" s="82"/>
      <c r="EL62" s="82"/>
      <c r="EM62" s="82"/>
      <c r="EN62" s="82"/>
      <c r="EO62" s="82"/>
      <c r="EP62" s="82"/>
      <c r="EQ62" s="82"/>
      <c r="ER62" s="82"/>
      <c r="ES62" s="82"/>
      <c r="ET62" s="82"/>
      <c r="EU62" s="82"/>
      <c r="EV62" s="82"/>
      <c r="EW62" s="82"/>
      <c r="EX62" s="82"/>
    </row>
    <row r="63" spans="1:154" s="78" customFormat="1" x14ac:dyDescent="0.3">
      <c r="A63" s="27">
        <v>55</v>
      </c>
      <c r="B63" s="36" t="s">
        <v>44</v>
      </c>
      <c r="C63" s="37" t="s">
        <v>45</v>
      </c>
      <c r="D63" s="40">
        <v>117761825</v>
      </c>
      <c r="E63" s="10" t="s">
        <v>141</v>
      </c>
      <c r="F63" s="10" t="s">
        <v>142</v>
      </c>
      <c r="G63" s="161" t="s">
        <v>214</v>
      </c>
      <c r="H63" s="10" t="s">
        <v>148</v>
      </c>
      <c r="I63" s="10" t="s">
        <v>88</v>
      </c>
      <c r="J63" s="30" t="s">
        <v>47</v>
      </c>
      <c r="K63" s="41">
        <v>46056</v>
      </c>
      <c r="L63" s="42">
        <v>657.28</v>
      </c>
      <c r="M63" s="42">
        <v>25.28</v>
      </c>
      <c r="N63" s="64"/>
      <c r="O63" s="61">
        <v>1</v>
      </c>
      <c r="P63" s="61"/>
      <c r="Q63" s="61">
        <v>1</v>
      </c>
      <c r="R63" s="64">
        <v>1</v>
      </c>
      <c r="S63" s="61">
        <v>1</v>
      </c>
      <c r="T63" s="129" t="s">
        <v>38</v>
      </c>
      <c r="U63" s="60"/>
      <c r="V63" s="61">
        <v>1</v>
      </c>
      <c r="W63" s="64">
        <v>1</v>
      </c>
      <c r="X63" s="64">
        <v>1</v>
      </c>
      <c r="Y63" s="61">
        <v>1</v>
      </c>
      <c r="Z63" s="61">
        <v>1</v>
      </c>
      <c r="AA63" s="129" t="s">
        <v>38</v>
      </c>
      <c r="AB63" s="58"/>
      <c r="AC63" s="31">
        <f t="shared" si="17"/>
        <v>9</v>
      </c>
      <c r="AD63" s="34">
        <f t="shared" si="16"/>
        <v>227.52</v>
      </c>
      <c r="AE63" s="31">
        <f t="shared" si="3"/>
        <v>0</v>
      </c>
      <c r="AF63" s="31">
        <f t="shared" si="30"/>
        <v>0</v>
      </c>
      <c r="AG63" s="31">
        <v>33.18</v>
      </c>
      <c r="AH63" s="31">
        <f t="shared" si="15"/>
        <v>2</v>
      </c>
      <c r="AI63" s="31">
        <f t="shared" si="4"/>
        <v>66.36</v>
      </c>
      <c r="AJ63" s="79">
        <f t="shared" si="26"/>
        <v>0</v>
      </c>
      <c r="AK63" s="34">
        <f t="shared" si="18"/>
        <v>0</v>
      </c>
      <c r="AL63" s="80"/>
      <c r="AM63" s="34">
        <f t="shared" si="5"/>
        <v>0</v>
      </c>
      <c r="AN63" s="79">
        <v>0</v>
      </c>
      <c r="AO63" s="34">
        <f t="shared" si="19"/>
        <v>0</v>
      </c>
      <c r="AP63" s="34"/>
      <c r="AQ63" s="34"/>
      <c r="AR63" s="31"/>
      <c r="AS63" s="31"/>
      <c r="AT63" s="34">
        <f t="shared" si="6"/>
        <v>293.88</v>
      </c>
      <c r="AU63" s="34">
        <f t="shared" si="7"/>
        <v>28.653300000000002</v>
      </c>
      <c r="AV63" s="34">
        <f t="shared" si="8"/>
        <v>3.6735000000000002</v>
      </c>
      <c r="AW63" s="34"/>
      <c r="AX63" s="34"/>
      <c r="AY63" s="34">
        <v>0</v>
      </c>
      <c r="AZ63" s="34"/>
      <c r="BA63" s="34">
        <f t="shared" si="9"/>
        <v>32.326799999999999</v>
      </c>
      <c r="BB63" s="34">
        <f t="shared" si="10"/>
        <v>261.5532</v>
      </c>
      <c r="BC63" s="81"/>
      <c r="BD63" s="34">
        <f t="shared" si="11"/>
        <v>32.040267</v>
      </c>
      <c r="BE63" s="34">
        <f t="shared" si="12"/>
        <v>3.923298</v>
      </c>
      <c r="BF63" s="165">
        <f t="shared" si="13"/>
        <v>5.4926172000000006</v>
      </c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</row>
    <row r="64" spans="1:154" s="78" customFormat="1" x14ac:dyDescent="0.3">
      <c r="A64" s="27">
        <v>56</v>
      </c>
      <c r="B64" s="36" t="s">
        <v>44</v>
      </c>
      <c r="C64" s="37" t="s">
        <v>45</v>
      </c>
      <c r="D64" s="10">
        <v>118012608</v>
      </c>
      <c r="E64" s="10" t="s">
        <v>174</v>
      </c>
      <c r="F64" s="102" t="s">
        <v>175</v>
      </c>
      <c r="G64" s="55" t="s">
        <v>215</v>
      </c>
      <c r="H64" s="10" t="s">
        <v>148</v>
      </c>
      <c r="I64" s="10" t="s">
        <v>88</v>
      </c>
      <c r="J64" s="30" t="s">
        <v>47</v>
      </c>
      <c r="K64" s="41" t="s">
        <v>162</v>
      </c>
      <c r="L64" s="42">
        <v>657.28</v>
      </c>
      <c r="M64" s="42">
        <v>25.28</v>
      </c>
      <c r="N64" s="60"/>
      <c r="O64" s="61">
        <v>1</v>
      </c>
      <c r="P64" s="60"/>
      <c r="Q64" s="61"/>
      <c r="R64" s="60">
        <v>1</v>
      </c>
      <c r="S64" s="60">
        <v>1</v>
      </c>
      <c r="T64" s="129" t="s">
        <v>38</v>
      </c>
      <c r="U64" s="60">
        <v>1</v>
      </c>
      <c r="V64" s="60">
        <v>1</v>
      </c>
      <c r="W64" s="60">
        <v>1</v>
      </c>
      <c r="X64" s="61">
        <v>1</v>
      </c>
      <c r="Y64" s="60">
        <v>1</v>
      </c>
      <c r="Z64" s="61">
        <v>1</v>
      </c>
      <c r="AA64" s="129" t="s">
        <v>38</v>
      </c>
      <c r="AB64" s="58">
        <v>1</v>
      </c>
      <c r="AC64" s="31">
        <f t="shared" si="17"/>
        <v>10</v>
      </c>
      <c r="AD64" s="34">
        <f t="shared" si="16"/>
        <v>252.8</v>
      </c>
      <c r="AE64" s="31">
        <f t="shared" si="3"/>
        <v>0</v>
      </c>
      <c r="AF64" s="31">
        <f t="shared" si="30"/>
        <v>0</v>
      </c>
      <c r="AG64" s="31">
        <v>33.18</v>
      </c>
      <c r="AH64" s="31">
        <f t="shared" si="15"/>
        <v>2</v>
      </c>
      <c r="AI64" s="31">
        <f t="shared" si="4"/>
        <v>66.36</v>
      </c>
      <c r="AJ64" s="79">
        <f t="shared" si="26"/>
        <v>0</v>
      </c>
      <c r="AK64" s="34">
        <f t="shared" si="18"/>
        <v>0</v>
      </c>
      <c r="AL64" s="80"/>
      <c r="AM64" s="34">
        <f t="shared" si="5"/>
        <v>0</v>
      </c>
      <c r="AN64" s="79">
        <v>0</v>
      </c>
      <c r="AO64" s="34">
        <f t="shared" si="19"/>
        <v>0</v>
      </c>
      <c r="AP64" s="34"/>
      <c r="AQ64" s="34"/>
      <c r="AR64" s="31"/>
      <c r="AS64" s="31"/>
      <c r="AT64" s="34">
        <f t="shared" si="6"/>
        <v>319.16000000000003</v>
      </c>
      <c r="AU64" s="34">
        <f t="shared" si="7"/>
        <v>31.118100000000002</v>
      </c>
      <c r="AV64" s="34">
        <f t="shared" si="8"/>
        <v>3.9895000000000005</v>
      </c>
      <c r="AW64" s="34"/>
      <c r="AX64" s="34"/>
      <c r="AY64" s="34">
        <v>0</v>
      </c>
      <c r="AZ64" s="34"/>
      <c r="BA64" s="34">
        <f t="shared" si="9"/>
        <v>35.107600000000005</v>
      </c>
      <c r="BB64" s="34">
        <f t="shared" si="10"/>
        <v>284.05240000000003</v>
      </c>
      <c r="BC64" s="81"/>
      <c r="BD64" s="34">
        <f t="shared" si="11"/>
        <v>34.796419</v>
      </c>
      <c r="BE64" s="34">
        <f t="shared" si="12"/>
        <v>4.2607860000000004</v>
      </c>
      <c r="BF64" s="165">
        <f t="shared" si="13"/>
        <v>5.9651004000000007</v>
      </c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82"/>
      <c r="DZ64" s="82"/>
      <c r="EA64" s="82"/>
      <c r="EB64" s="82"/>
      <c r="EC64" s="82"/>
      <c r="ED64" s="82"/>
      <c r="EE64" s="82"/>
      <c r="EF64" s="82"/>
      <c r="EG64" s="82"/>
      <c r="EH64" s="82"/>
      <c r="EI64" s="82"/>
      <c r="EJ64" s="82"/>
      <c r="EK64" s="82"/>
      <c r="EL64" s="82"/>
      <c r="EM64" s="82"/>
      <c r="EN64" s="82"/>
      <c r="EO64" s="82"/>
      <c r="EP64" s="82"/>
      <c r="EQ64" s="82"/>
      <c r="ER64" s="82"/>
      <c r="ES64" s="82"/>
      <c r="ET64" s="82"/>
      <c r="EU64" s="82"/>
      <c r="EV64" s="82"/>
      <c r="EW64" s="82"/>
      <c r="EX64" s="82"/>
    </row>
    <row r="65" spans="1:154" s="78" customFormat="1" ht="16.8" customHeight="1" x14ac:dyDescent="0.3">
      <c r="A65" s="27">
        <v>57</v>
      </c>
      <c r="B65" s="36" t="s">
        <v>44</v>
      </c>
      <c r="C65" s="37" t="s">
        <v>45</v>
      </c>
      <c r="D65" s="10">
        <v>118634377</v>
      </c>
      <c r="E65" s="10" t="s">
        <v>133</v>
      </c>
      <c r="F65" s="10" t="s">
        <v>135</v>
      </c>
      <c r="G65" s="86" t="s">
        <v>128</v>
      </c>
      <c r="H65" s="10" t="s">
        <v>148</v>
      </c>
      <c r="I65" s="10" t="s">
        <v>88</v>
      </c>
      <c r="J65" s="30" t="s">
        <v>47</v>
      </c>
      <c r="K65" s="41" t="s">
        <v>151</v>
      </c>
      <c r="L65" s="42">
        <v>657.28</v>
      </c>
      <c r="M65" s="42">
        <v>25.28</v>
      </c>
      <c r="N65" s="60"/>
      <c r="O65" s="64">
        <v>1</v>
      </c>
      <c r="P65" s="61"/>
      <c r="Q65" s="60"/>
      <c r="R65" s="61">
        <v>1</v>
      </c>
      <c r="S65" s="61">
        <v>1</v>
      </c>
      <c r="T65" s="130" t="s">
        <v>38</v>
      </c>
      <c r="U65" s="60"/>
      <c r="V65" s="60">
        <v>1</v>
      </c>
      <c r="W65" s="61"/>
      <c r="X65" s="61">
        <v>1</v>
      </c>
      <c r="Y65" s="60"/>
      <c r="Z65" s="61">
        <v>1</v>
      </c>
      <c r="AA65" s="129" t="s">
        <v>38</v>
      </c>
      <c r="AB65" s="58">
        <v>1</v>
      </c>
      <c r="AC65" s="31">
        <f t="shared" si="17"/>
        <v>7</v>
      </c>
      <c r="AD65" s="34">
        <f t="shared" si="16"/>
        <v>176.96</v>
      </c>
      <c r="AE65" s="31">
        <f t="shared" si="3"/>
        <v>0</v>
      </c>
      <c r="AF65" s="31">
        <f t="shared" si="30"/>
        <v>0</v>
      </c>
      <c r="AG65" s="31">
        <v>33.18</v>
      </c>
      <c r="AH65" s="31">
        <v>3</v>
      </c>
      <c r="AI65" s="31">
        <f t="shared" si="4"/>
        <v>99.539999999999992</v>
      </c>
      <c r="AJ65" s="79">
        <f t="shared" si="26"/>
        <v>0</v>
      </c>
      <c r="AK65" s="34">
        <f t="shared" si="18"/>
        <v>0</v>
      </c>
      <c r="AL65" s="80"/>
      <c r="AM65" s="34">
        <f t="shared" si="5"/>
        <v>0</v>
      </c>
      <c r="AN65" s="79">
        <v>0</v>
      </c>
      <c r="AO65" s="34">
        <f t="shared" si="19"/>
        <v>0</v>
      </c>
      <c r="AP65" s="34"/>
      <c r="AQ65" s="34"/>
      <c r="AR65" s="31"/>
      <c r="AS65" s="31"/>
      <c r="AT65" s="34">
        <f t="shared" si="6"/>
        <v>276.5</v>
      </c>
      <c r="AU65" s="34">
        <f t="shared" si="7"/>
        <v>26.958750000000002</v>
      </c>
      <c r="AV65" s="34">
        <f t="shared" si="8"/>
        <v>3.4562500000000003</v>
      </c>
      <c r="AW65" s="34"/>
      <c r="AX65" s="34"/>
      <c r="AY65" s="34">
        <v>0</v>
      </c>
      <c r="AZ65" s="34"/>
      <c r="BA65" s="34">
        <f t="shared" si="9"/>
        <v>30.415000000000003</v>
      </c>
      <c r="BB65" s="34">
        <f t="shared" si="10"/>
        <v>246.08500000000001</v>
      </c>
      <c r="BC65" s="81"/>
      <c r="BD65" s="34">
        <f t="shared" si="11"/>
        <v>30.145412499999999</v>
      </c>
      <c r="BE65" s="34">
        <f t="shared" si="12"/>
        <v>3.6912750000000001</v>
      </c>
      <c r="BF65" s="165">
        <f t="shared" si="13"/>
        <v>5.1677850000000003</v>
      </c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/>
      <c r="DA65" s="82"/>
      <c r="DB65" s="82"/>
      <c r="DC65" s="82"/>
      <c r="DD65" s="82"/>
      <c r="DE65" s="82"/>
      <c r="DF65" s="82"/>
      <c r="DG65" s="82"/>
      <c r="DH65" s="82"/>
      <c r="DI65" s="82"/>
      <c r="DJ65" s="82"/>
      <c r="DK65" s="82"/>
      <c r="DL65" s="82"/>
      <c r="DM65" s="82"/>
      <c r="DN65" s="82"/>
      <c r="DO65" s="82"/>
      <c r="DP65" s="82"/>
      <c r="DQ65" s="82"/>
      <c r="DR65" s="82"/>
      <c r="DS65" s="82"/>
      <c r="DT65" s="82"/>
      <c r="DU65" s="82"/>
      <c r="DV65" s="82"/>
      <c r="DW65" s="82"/>
      <c r="DX65" s="82"/>
      <c r="DY65" s="82"/>
      <c r="DZ65" s="82"/>
      <c r="EA65" s="82"/>
      <c r="EB65" s="82"/>
      <c r="EC65" s="82"/>
      <c r="ED65" s="82"/>
      <c r="EE65" s="82"/>
      <c r="EF65" s="82"/>
      <c r="EG65" s="82"/>
      <c r="EH65" s="82"/>
      <c r="EI65" s="82"/>
      <c r="EJ65" s="82"/>
      <c r="EK65" s="82"/>
      <c r="EL65" s="82"/>
      <c r="EM65" s="82"/>
      <c r="EN65" s="82"/>
      <c r="EO65" s="82"/>
      <c r="EP65" s="82"/>
      <c r="EQ65" s="82"/>
      <c r="ER65" s="82"/>
      <c r="ES65" s="82"/>
      <c r="ET65" s="82"/>
      <c r="EU65" s="82"/>
      <c r="EV65" s="82"/>
      <c r="EW65" s="82"/>
      <c r="EX65" s="82"/>
    </row>
    <row r="66" spans="1:154" s="78" customFormat="1" x14ac:dyDescent="0.3">
      <c r="A66" s="27">
        <v>58</v>
      </c>
      <c r="B66" s="36" t="s">
        <v>44</v>
      </c>
      <c r="C66" s="37" t="s">
        <v>45</v>
      </c>
      <c r="D66" s="30">
        <v>116757311</v>
      </c>
      <c r="E66" s="10" t="s">
        <v>181</v>
      </c>
      <c r="F66" s="10" t="s">
        <v>182</v>
      </c>
      <c r="G66" s="55" t="s">
        <v>71</v>
      </c>
      <c r="H66" s="10" t="s">
        <v>148</v>
      </c>
      <c r="I66" s="10" t="s">
        <v>88</v>
      </c>
      <c r="J66" s="30" t="s">
        <v>47</v>
      </c>
      <c r="K66" s="41">
        <v>46026</v>
      </c>
      <c r="L66" s="42">
        <v>657.28</v>
      </c>
      <c r="M66" s="42">
        <v>25.28</v>
      </c>
      <c r="N66" s="60">
        <v>1</v>
      </c>
      <c r="O66" s="64">
        <v>1</v>
      </c>
      <c r="P66" s="61"/>
      <c r="Q66" s="60">
        <v>1</v>
      </c>
      <c r="R66" s="61">
        <v>1</v>
      </c>
      <c r="S66" s="61">
        <v>1</v>
      </c>
      <c r="T66" s="130" t="s">
        <v>38</v>
      </c>
      <c r="U66" s="60"/>
      <c r="V66" s="60">
        <v>1</v>
      </c>
      <c r="W66" s="61"/>
      <c r="X66" s="61">
        <v>1</v>
      </c>
      <c r="Y66" s="60">
        <v>1</v>
      </c>
      <c r="Z66" s="61">
        <v>1</v>
      </c>
      <c r="AA66" s="129" t="s">
        <v>38</v>
      </c>
      <c r="AB66" s="58">
        <v>1</v>
      </c>
      <c r="AC66" s="31">
        <f t="shared" si="17"/>
        <v>10</v>
      </c>
      <c r="AD66" s="34">
        <f t="shared" si="16"/>
        <v>252.8</v>
      </c>
      <c r="AE66" s="31">
        <f t="shared" si="3"/>
        <v>0</v>
      </c>
      <c r="AF66" s="31">
        <f t="shared" si="30"/>
        <v>0</v>
      </c>
      <c r="AG66" s="31">
        <v>33.18</v>
      </c>
      <c r="AH66" s="31">
        <f t="shared" si="15"/>
        <v>2</v>
      </c>
      <c r="AI66" s="31">
        <f t="shared" si="4"/>
        <v>66.36</v>
      </c>
      <c r="AJ66" s="79">
        <f t="shared" si="26"/>
        <v>0</v>
      </c>
      <c r="AK66" s="34">
        <f t="shared" si="18"/>
        <v>0</v>
      </c>
      <c r="AL66" s="80"/>
      <c r="AM66" s="34">
        <f t="shared" si="5"/>
        <v>0</v>
      </c>
      <c r="AN66" s="79">
        <v>0</v>
      </c>
      <c r="AO66" s="34">
        <f t="shared" si="19"/>
        <v>0</v>
      </c>
      <c r="AP66" s="34"/>
      <c r="AQ66" s="34"/>
      <c r="AR66" s="31"/>
      <c r="AS66" s="31"/>
      <c r="AT66" s="34">
        <f t="shared" si="6"/>
        <v>319.16000000000003</v>
      </c>
      <c r="AU66" s="34">
        <f t="shared" si="7"/>
        <v>31.118100000000002</v>
      </c>
      <c r="AV66" s="34">
        <f t="shared" si="8"/>
        <v>3.9895000000000005</v>
      </c>
      <c r="AW66" s="34"/>
      <c r="AX66" s="34"/>
      <c r="AY66" s="34">
        <v>0</v>
      </c>
      <c r="AZ66" s="34"/>
      <c r="BA66" s="34">
        <f t="shared" si="9"/>
        <v>35.107600000000005</v>
      </c>
      <c r="BB66" s="34">
        <f t="shared" si="10"/>
        <v>284.05240000000003</v>
      </c>
      <c r="BC66" s="81"/>
      <c r="BD66" s="34">
        <f t="shared" si="11"/>
        <v>34.796419</v>
      </c>
      <c r="BE66" s="34">
        <f t="shared" si="12"/>
        <v>4.2607860000000004</v>
      </c>
      <c r="BF66" s="165">
        <f t="shared" si="13"/>
        <v>5.9651004000000007</v>
      </c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2"/>
      <c r="DF66" s="82"/>
      <c r="DG66" s="82"/>
      <c r="DH66" s="82"/>
      <c r="DI66" s="82"/>
      <c r="DJ66" s="82"/>
      <c r="DK66" s="82"/>
      <c r="DL66" s="82"/>
      <c r="DM66" s="82"/>
      <c r="DN66" s="82"/>
      <c r="DO66" s="82"/>
      <c r="DP66" s="82"/>
      <c r="DQ66" s="82"/>
      <c r="DR66" s="82"/>
      <c r="DS66" s="82"/>
      <c r="DT66" s="82"/>
      <c r="DU66" s="82"/>
      <c r="DV66" s="82"/>
      <c r="DW66" s="82"/>
      <c r="DX66" s="82"/>
      <c r="DY66" s="82"/>
      <c r="DZ66" s="82"/>
      <c r="EA66" s="82"/>
      <c r="EB66" s="82"/>
      <c r="EC66" s="82"/>
      <c r="ED66" s="82"/>
      <c r="EE66" s="82"/>
      <c r="EF66" s="82"/>
      <c r="EG66" s="82"/>
      <c r="EH66" s="82"/>
      <c r="EI66" s="82"/>
      <c r="EJ66" s="82"/>
      <c r="EK66" s="82"/>
      <c r="EL66" s="82"/>
      <c r="EM66" s="82"/>
      <c r="EN66" s="82"/>
      <c r="EO66" s="82"/>
      <c r="EP66" s="82"/>
      <c r="EQ66" s="82"/>
      <c r="ER66" s="82"/>
      <c r="ES66" s="82"/>
      <c r="ET66" s="82"/>
      <c r="EU66" s="82"/>
      <c r="EV66" s="82"/>
      <c r="EW66" s="82"/>
      <c r="EX66" s="82"/>
    </row>
    <row r="67" spans="1:154" s="78" customFormat="1" x14ac:dyDescent="0.3">
      <c r="A67" s="27">
        <v>59</v>
      </c>
      <c r="B67" s="36" t="s">
        <v>44</v>
      </c>
      <c r="C67" s="37" t="s">
        <v>45</v>
      </c>
      <c r="D67" s="10">
        <v>118555390</v>
      </c>
      <c r="E67" s="10" t="s">
        <v>122</v>
      </c>
      <c r="F67" s="10" t="s">
        <v>129</v>
      </c>
      <c r="G67" s="55" t="s">
        <v>97</v>
      </c>
      <c r="H67" s="10" t="s">
        <v>148</v>
      </c>
      <c r="I67" s="10" t="s">
        <v>88</v>
      </c>
      <c r="J67" s="30" t="s">
        <v>47</v>
      </c>
      <c r="K67" s="41">
        <v>46055</v>
      </c>
      <c r="L67" s="42">
        <v>657.28</v>
      </c>
      <c r="M67" s="42">
        <v>25.28</v>
      </c>
      <c r="N67" s="103"/>
      <c r="O67" s="61">
        <v>1</v>
      </c>
      <c r="P67" s="60"/>
      <c r="Q67" s="60"/>
      <c r="R67" s="60"/>
      <c r="S67" s="61">
        <v>1</v>
      </c>
      <c r="T67" s="129"/>
      <c r="U67" s="60"/>
      <c r="V67" s="61">
        <v>1</v>
      </c>
      <c r="W67" s="60"/>
      <c r="X67" s="61">
        <v>1</v>
      </c>
      <c r="Y67" s="60">
        <v>1</v>
      </c>
      <c r="Z67" s="61">
        <v>1</v>
      </c>
      <c r="AA67" s="129" t="s">
        <v>38</v>
      </c>
      <c r="AB67" s="58">
        <v>1</v>
      </c>
      <c r="AC67" s="31">
        <f t="shared" si="17"/>
        <v>7</v>
      </c>
      <c r="AD67" s="34">
        <f t="shared" si="16"/>
        <v>176.96</v>
      </c>
      <c r="AE67" s="31">
        <f t="shared" si="3"/>
        <v>0</v>
      </c>
      <c r="AF67" s="31">
        <f t="shared" si="30"/>
        <v>0</v>
      </c>
      <c r="AG67" s="31">
        <v>33.18</v>
      </c>
      <c r="AH67" s="31">
        <f t="shared" si="15"/>
        <v>1</v>
      </c>
      <c r="AI67" s="31">
        <f t="shared" si="4"/>
        <v>33.18</v>
      </c>
      <c r="AJ67" s="79">
        <f t="shared" si="26"/>
        <v>0</v>
      </c>
      <c r="AK67" s="34">
        <f t="shared" si="18"/>
        <v>0</v>
      </c>
      <c r="AL67" s="80"/>
      <c r="AM67" s="34">
        <f t="shared" si="5"/>
        <v>0</v>
      </c>
      <c r="AN67" s="79">
        <v>0</v>
      </c>
      <c r="AO67" s="34">
        <f t="shared" si="19"/>
        <v>0</v>
      </c>
      <c r="AP67" s="34"/>
      <c r="AQ67" s="34"/>
      <c r="AR67" s="31"/>
      <c r="AS67" s="31"/>
      <c r="AT67" s="34">
        <f t="shared" si="6"/>
        <v>210.14000000000001</v>
      </c>
      <c r="AU67" s="34">
        <f t="shared" si="7"/>
        <v>20.488650000000003</v>
      </c>
      <c r="AV67" s="34">
        <f t="shared" si="8"/>
        <v>2.6267500000000004</v>
      </c>
      <c r="AW67" s="34"/>
      <c r="AX67" s="34"/>
      <c r="AY67" s="34">
        <v>0</v>
      </c>
      <c r="AZ67" s="34"/>
      <c r="BA67" s="34">
        <f t="shared" si="9"/>
        <v>23.115400000000005</v>
      </c>
      <c r="BB67" s="34">
        <f t="shared" si="10"/>
        <v>187.02460000000002</v>
      </c>
      <c r="BC67" s="81"/>
      <c r="BD67" s="34">
        <f t="shared" si="11"/>
        <v>22.9105135</v>
      </c>
      <c r="BE67" s="34">
        <f t="shared" si="12"/>
        <v>2.8053690000000002</v>
      </c>
      <c r="BF67" s="165">
        <f t="shared" si="13"/>
        <v>3.9275166000000006</v>
      </c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82"/>
      <c r="DL67" s="82"/>
      <c r="DM67" s="82"/>
      <c r="DN67" s="82"/>
      <c r="DO67" s="82"/>
      <c r="DP67" s="82"/>
      <c r="DQ67" s="82"/>
      <c r="DR67" s="82"/>
      <c r="DS67" s="82"/>
      <c r="DT67" s="82"/>
      <c r="DU67" s="82"/>
      <c r="DV67" s="82"/>
      <c r="DW67" s="82"/>
      <c r="DX67" s="82"/>
      <c r="DY67" s="82"/>
      <c r="DZ67" s="82"/>
      <c r="EA67" s="82"/>
      <c r="EB67" s="82"/>
      <c r="EC67" s="82"/>
      <c r="ED67" s="82"/>
      <c r="EE67" s="82"/>
      <c r="EF67" s="82"/>
      <c r="EG67" s="82"/>
      <c r="EH67" s="82"/>
      <c r="EI67" s="82"/>
      <c r="EJ67" s="82"/>
      <c r="EK67" s="82"/>
      <c r="EL67" s="82"/>
      <c r="EM67" s="82"/>
      <c r="EN67" s="82"/>
      <c r="EO67" s="82"/>
      <c r="EP67" s="82"/>
      <c r="EQ67" s="82"/>
      <c r="ER67" s="82"/>
      <c r="ES67" s="82"/>
      <c r="ET67" s="82"/>
      <c r="EU67" s="82"/>
      <c r="EV67" s="82"/>
      <c r="EW67" s="82"/>
      <c r="EX67" s="82"/>
    </row>
    <row r="68" spans="1:154" s="78" customFormat="1" x14ac:dyDescent="0.3">
      <c r="A68" s="27">
        <v>60</v>
      </c>
      <c r="B68" s="36" t="s">
        <v>44</v>
      </c>
      <c r="C68" s="37" t="s">
        <v>45</v>
      </c>
      <c r="D68" s="10">
        <v>118511047</v>
      </c>
      <c r="E68" s="10" t="s">
        <v>84</v>
      </c>
      <c r="F68" s="10" t="s">
        <v>85</v>
      </c>
      <c r="G68" s="55" t="s">
        <v>81</v>
      </c>
      <c r="H68" s="10" t="s">
        <v>148</v>
      </c>
      <c r="I68" s="10" t="s">
        <v>88</v>
      </c>
      <c r="J68" s="30" t="s">
        <v>47</v>
      </c>
      <c r="K68" s="41" t="s">
        <v>150</v>
      </c>
      <c r="L68" s="42">
        <v>657.28</v>
      </c>
      <c r="M68" s="42">
        <v>25.28</v>
      </c>
      <c r="N68" s="103"/>
      <c r="O68" s="61">
        <v>1</v>
      </c>
      <c r="P68" s="60"/>
      <c r="Q68" s="61">
        <v>1</v>
      </c>
      <c r="R68" s="61"/>
      <c r="S68" s="61">
        <v>1</v>
      </c>
      <c r="T68" s="130" t="s">
        <v>38</v>
      </c>
      <c r="U68" s="60"/>
      <c r="V68" s="60">
        <v>1</v>
      </c>
      <c r="W68" s="61"/>
      <c r="X68" s="60">
        <v>1</v>
      </c>
      <c r="Y68" s="61">
        <v>1</v>
      </c>
      <c r="Z68" s="61">
        <v>1</v>
      </c>
      <c r="AA68" s="129" t="s">
        <v>38</v>
      </c>
      <c r="AB68" s="58">
        <v>1</v>
      </c>
      <c r="AC68" s="31">
        <f t="shared" si="17"/>
        <v>8</v>
      </c>
      <c r="AD68" s="34">
        <f t="shared" si="16"/>
        <v>202.24</v>
      </c>
      <c r="AE68" s="31">
        <f t="shared" si="3"/>
        <v>0</v>
      </c>
      <c r="AF68" s="31">
        <f t="shared" si="30"/>
        <v>0</v>
      </c>
      <c r="AG68" s="31">
        <v>33.18</v>
      </c>
      <c r="AH68" s="31">
        <f t="shared" si="15"/>
        <v>2</v>
      </c>
      <c r="AI68" s="31">
        <f t="shared" si="4"/>
        <v>66.36</v>
      </c>
      <c r="AJ68" s="79">
        <f t="shared" si="26"/>
        <v>0</v>
      </c>
      <c r="AK68" s="34">
        <f t="shared" si="18"/>
        <v>0</v>
      </c>
      <c r="AL68" s="80"/>
      <c r="AM68" s="34">
        <f t="shared" si="5"/>
        <v>0</v>
      </c>
      <c r="AN68" s="79">
        <v>0</v>
      </c>
      <c r="AO68" s="34">
        <f t="shared" si="19"/>
        <v>0</v>
      </c>
      <c r="AP68" s="34"/>
      <c r="AQ68" s="34"/>
      <c r="AR68" s="31"/>
      <c r="AS68" s="31"/>
      <c r="AT68" s="34">
        <f t="shared" si="6"/>
        <v>268.60000000000002</v>
      </c>
      <c r="AU68" s="34">
        <f t="shared" si="7"/>
        <v>26.188500000000005</v>
      </c>
      <c r="AV68" s="34">
        <f t="shared" si="8"/>
        <v>3.3575000000000004</v>
      </c>
      <c r="AW68" s="34"/>
      <c r="AX68" s="34"/>
      <c r="AY68" s="34">
        <v>0</v>
      </c>
      <c r="AZ68" s="34"/>
      <c r="BA68" s="34">
        <f t="shared" si="9"/>
        <v>29.546000000000006</v>
      </c>
      <c r="BB68" s="34">
        <f t="shared" si="10"/>
        <v>239.05400000000003</v>
      </c>
      <c r="BC68" s="81"/>
      <c r="BD68" s="34">
        <f t="shared" si="11"/>
        <v>29.284115000000003</v>
      </c>
      <c r="BE68" s="34">
        <f t="shared" si="12"/>
        <v>3.5858100000000004</v>
      </c>
      <c r="BF68" s="165">
        <f t="shared" si="13"/>
        <v>5.0201340000000005</v>
      </c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82"/>
      <c r="DT68" s="82"/>
      <c r="DU68" s="82"/>
      <c r="DV68" s="82"/>
      <c r="DW68" s="82"/>
      <c r="DX68" s="82"/>
      <c r="DY68" s="82"/>
      <c r="DZ68" s="82"/>
      <c r="EA68" s="82"/>
      <c r="EB68" s="82"/>
      <c r="EC68" s="82"/>
      <c r="ED68" s="82"/>
      <c r="EE68" s="82"/>
      <c r="EF68" s="82"/>
      <c r="EG68" s="82"/>
      <c r="EH68" s="82"/>
      <c r="EI68" s="82"/>
      <c r="EJ68" s="82"/>
      <c r="EK68" s="82"/>
      <c r="EL68" s="82"/>
      <c r="EM68" s="82"/>
      <c r="EN68" s="82"/>
      <c r="EO68" s="82"/>
      <c r="EP68" s="82"/>
      <c r="EQ68" s="82"/>
      <c r="ER68" s="82"/>
      <c r="ES68" s="82"/>
      <c r="ET68" s="82"/>
      <c r="EU68" s="82"/>
      <c r="EV68" s="82"/>
      <c r="EW68" s="82"/>
      <c r="EX68" s="82"/>
    </row>
    <row r="69" spans="1:154" s="78" customFormat="1" x14ac:dyDescent="0.3">
      <c r="A69" s="27">
        <v>61</v>
      </c>
      <c r="B69" s="36" t="s">
        <v>44</v>
      </c>
      <c r="C69" s="37" t="s">
        <v>45</v>
      </c>
      <c r="D69" s="10">
        <v>118634765</v>
      </c>
      <c r="E69" s="10" t="s">
        <v>270</v>
      </c>
      <c r="F69" s="10" t="s">
        <v>271</v>
      </c>
      <c r="G69" s="55" t="s">
        <v>126</v>
      </c>
      <c r="H69" s="10" t="s">
        <v>148</v>
      </c>
      <c r="I69" s="10" t="s">
        <v>88</v>
      </c>
      <c r="J69" s="30" t="s">
        <v>47</v>
      </c>
      <c r="K69" s="41" t="s">
        <v>151</v>
      </c>
      <c r="L69" s="42">
        <v>657.28</v>
      </c>
      <c r="M69" s="42">
        <v>25.28</v>
      </c>
      <c r="N69" s="103">
        <v>1</v>
      </c>
      <c r="O69" s="61"/>
      <c r="P69" s="60">
        <v>1</v>
      </c>
      <c r="Q69" s="61"/>
      <c r="R69" s="61">
        <v>1</v>
      </c>
      <c r="S69" s="61">
        <v>1</v>
      </c>
      <c r="T69" s="130" t="s">
        <v>38</v>
      </c>
      <c r="U69" s="60"/>
      <c r="V69" s="60">
        <v>1</v>
      </c>
      <c r="W69" s="61">
        <v>1</v>
      </c>
      <c r="X69" s="60">
        <v>1</v>
      </c>
      <c r="Y69" s="61"/>
      <c r="Z69" s="61">
        <v>1</v>
      </c>
      <c r="AA69" s="129" t="s">
        <v>38</v>
      </c>
      <c r="AB69" s="58"/>
      <c r="AC69" s="31">
        <f t="shared" si="17"/>
        <v>8</v>
      </c>
      <c r="AD69" s="34">
        <f t="shared" si="16"/>
        <v>202.24</v>
      </c>
      <c r="AE69" s="31">
        <f t="shared" si="3"/>
        <v>0</v>
      </c>
      <c r="AF69" s="31">
        <f t="shared" si="30"/>
        <v>0</v>
      </c>
      <c r="AG69" s="31">
        <v>33.18</v>
      </c>
      <c r="AH69" s="31">
        <f t="shared" si="15"/>
        <v>2</v>
      </c>
      <c r="AI69" s="31">
        <f t="shared" si="4"/>
        <v>66.36</v>
      </c>
      <c r="AJ69" s="79">
        <f t="shared" si="26"/>
        <v>0</v>
      </c>
      <c r="AK69" s="34">
        <f t="shared" si="18"/>
        <v>0</v>
      </c>
      <c r="AL69" s="80"/>
      <c r="AM69" s="34">
        <f t="shared" si="5"/>
        <v>0</v>
      </c>
      <c r="AN69" s="79">
        <v>0</v>
      </c>
      <c r="AO69" s="34">
        <f t="shared" si="19"/>
        <v>0</v>
      </c>
      <c r="AP69" s="34"/>
      <c r="AQ69" s="34"/>
      <c r="AR69" s="31"/>
      <c r="AS69" s="31"/>
      <c r="AT69" s="34">
        <f t="shared" si="6"/>
        <v>268.60000000000002</v>
      </c>
      <c r="AU69" s="34">
        <f t="shared" si="7"/>
        <v>26.188500000000005</v>
      </c>
      <c r="AV69" s="34">
        <f t="shared" si="8"/>
        <v>3.3575000000000004</v>
      </c>
      <c r="AW69" s="34"/>
      <c r="AX69" s="34"/>
      <c r="AY69" s="34">
        <v>0</v>
      </c>
      <c r="AZ69" s="34"/>
      <c r="BA69" s="34">
        <f t="shared" si="9"/>
        <v>29.546000000000006</v>
      </c>
      <c r="BB69" s="34">
        <f t="shared" si="10"/>
        <v>239.05400000000003</v>
      </c>
      <c r="BC69" s="81"/>
      <c r="BD69" s="34">
        <f t="shared" si="11"/>
        <v>29.284115000000003</v>
      </c>
      <c r="BE69" s="34">
        <f t="shared" si="12"/>
        <v>3.5858100000000004</v>
      </c>
      <c r="BF69" s="165">
        <f t="shared" si="13"/>
        <v>5.0201340000000005</v>
      </c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/>
      <c r="DA69" s="82"/>
      <c r="DB69" s="82"/>
      <c r="DC69" s="82"/>
      <c r="DD69" s="82"/>
      <c r="DE69" s="82"/>
      <c r="DF69" s="82"/>
      <c r="DG69" s="82"/>
      <c r="DH69" s="82"/>
      <c r="DI69" s="82"/>
      <c r="DJ69" s="82"/>
      <c r="DK69" s="82"/>
      <c r="DL69" s="82"/>
      <c r="DM69" s="82"/>
      <c r="DN69" s="82"/>
      <c r="DO69" s="82"/>
      <c r="DP69" s="82"/>
      <c r="DQ69" s="82"/>
      <c r="DR69" s="82"/>
      <c r="DS69" s="82"/>
      <c r="DT69" s="82"/>
      <c r="DU69" s="82"/>
      <c r="DV69" s="82"/>
      <c r="DW69" s="82"/>
      <c r="DX69" s="82"/>
      <c r="DY69" s="82"/>
      <c r="DZ69" s="82"/>
      <c r="EA69" s="82"/>
      <c r="EB69" s="82"/>
      <c r="EC69" s="82"/>
      <c r="ED69" s="82"/>
      <c r="EE69" s="82"/>
      <c r="EF69" s="82"/>
      <c r="EG69" s="82"/>
      <c r="EH69" s="82"/>
      <c r="EI69" s="82"/>
      <c r="EJ69" s="82"/>
      <c r="EK69" s="82"/>
      <c r="EL69" s="82"/>
      <c r="EM69" s="82"/>
      <c r="EN69" s="82"/>
      <c r="EO69" s="82"/>
      <c r="EP69" s="82"/>
      <c r="EQ69" s="82"/>
      <c r="ER69" s="82"/>
      <c r="ES69" s="82"/>
      <c r="ET69" s="82"/>
      <c r="EU69" s="82"/>
      <c r="EV69" s="82"/>
      <c r="EW69" s="82"/>
      <c r="EX69" s="82"/>
    </row>
    <row r="70" spans="1:154" s="78" customFormat="1" x14ac:dyDescent="0.3">
      <c r="A70" s="27">
        <v>62</v>
      </c>
      <c r="B70" s="36" t="s">
        <v>44</v>
      </c>
      <c r="C70" s="37" t="s">
        <v>45</v>
      </c>
      <c r="D70" s="104">
        <v>116745142</v>
      </c>
      <c r="E70" s="62" t="s">
        <v>272</v>
      </c>
      <c r="F70" s="62" t="s">
        <v>273</v>
      </c>
      <c r="G70" s="162" t="s">
        <v>72</v>
      </c>
      <c r="H70" s="10" t="s">
        <v>148</v>
      </c>
      <c r="I70" s="10" t="s">
        <v>88</v>
      </c>
      <c r="J70" s="30" t="s">
        <v>47</v>
      </c>
      <c r="K70" s="105" t="s">
        <v>151</v>
      </c>
      <c r="L70" s="42">
        <v>657.28</v>
      </c>
      <c r="M70" s="42">
        <v>25.28</v>
      </c>
      <c r="N70" s="106"/>
      <c r="O70" s="124">
        <v>1</v>
      </c>
      <c r="P70" s="93"/>
      <c r="Q70" s="92">
        <v>1</v>
      </c>
      <c r="R70" s="93">
        <v>1</v>
      </c>
      <c r="S70" s="92">
        <v>1</v>
      </c>
      <c r="T70" s="131" t="s">
        <v>38</v>
      </c>
      <c r="U70" s="92"/>
      <c r="V70" s="92">
        <v>1</v>
      </c>
      <c r="W70" s="92"/>
      <c r="X70" s="93">
        <v>1</v>
      </c>
      <c r="Y70" s="92">
        <v>1</v>
      </c>
      <c r="Z70" s="93">
        <v>1</v>
      </c>
      <c r="AA70" s="131" t="s">
        <v>38</v>
      </c>
      <c r="AB70" s="93">
        <v>1</v>
      </c>
      <c r="AC70" s="31">
        <f t="shared" si="17"/>
        <v>9</v>
      </c>
      <c r="AD70" s="34">
        <f t="shared" si="16"/>
        <v>227.52</v>
      </c>
      <c r="AE70" s="31">
        <f t="shared" si="3"/>
        <v>0</v>
      </c>
      <c r="AF70" s="31">
        <f t="shared" si="30"/>
        <v>0</v>
      </c>
      <c r="AG70" s="31">
        <v>33.18</v>
      </c>
      <c r="AH70" s="31">
        <f t="shared" si="15"/>
        <v>2</v>
      </c>
      <c r="AI70" s="31">
        <f t="shared" si="4"/>
        <v>66.36</v>
      </c>
      <c r="AJ70" s="79">
        <f t="shared" si="26"/>
        <v>0</v>
      </c>
      <c r="AK70" s="34">
        <f t="shared" si="18"/>
        <v>0</v>
      </c>
      <c r="AL70" s="80"/>
      <c r="AM70" s="34">
        <f t="shared" si="5"/>
        <v>0</v>
      </c>
      <c r="AN70" s="79">
        <v>0</v>
      </c>
      <c r="AO70" s="34">
        <f t="shared" si="19"/>
        <v>0</v>
      </c>
      <c r="AP70" s="34"/>
      <c r="AQ70" s="34"/>
      <c r="AR70" s="31"/>
      <c r="AS70" s="31"/>
      <c r="AT70" s="34">
        <f t="shared" si="6"/>
        <v>293.88</v>
      </c>
      <c r="AU70" s="34">
        <f t="shared" si="7"/>
        <v>28.653300000000002</v>
      </c>
      <c r="AV70" s="34">
        <f t="shared" si="8"/>
        <v>3.6735000000000002</v>
      </c>
      <c r="AW70" s="34"/>
      <c r="AX70" s="34"/>
      <c r="AY70" s="34">
        <v>0</v>
      </c>
      <c r="AZ70" s="34"/>
      <c r="BA70" s="34">
        <f t="shared" si="9"/>
        <v>32.326799999999999</v>
      </c>
      <c r="BB70" s="34">
        <f t="shared" si="10"/>
        <v>261.5532</v>
      </c>
      <c r="BC70" s="81"/>
      <c r="BD70" s="34">
        <f t="shared" si="11"/>
        <v>32.040267</v>
      </c>
      <c r="BE70" s="34">
        <f t="shared" si="12"/>
        <v>3.923298</v>
      </c>
      <c r="BF70" s="165">
        <f t="shared" si="13"/>
        <v>5.4926172000000006</v>
      </c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CZ70" s="82"/>
      <c r="DA70" s="82"/>
      <c r="DB70" s="82"/>
      <c r="DC70" s="82"/>
      <c r="DD70" s="82"/>
      <c r="DE70" s="82"/>
      <c r="DF70" s="82"/>
      <c r="DG70" s="82"/>
      <c r="DH70" s="82"/>
      <c r="DI70" s="82"/>
      <c r="DJ70" s="82"/>
      <c r="DK70" s="82"/>
      <c r="DL70" s="82"/>
      <c r="DM70" s="82"/>
      <c r="DN70" s="82"/>
      <c r="DO70" s="82"/>
      <c r="DP70" s="82"/>
      <c r="DQ70" s="82"/>
      <c r="DR70" s="82"/>
      <c r="DS70" s="82"/>
      <c r="DT70" s="82"/>
      <c r="DU70" s="82"/>
      <c r="DV70" s="82"/>
      <c r="DW70" s="82"/>
      <c r="DX70" s="82"/>
      <c r="DY70" s="82"/>
      <c r="DZ70" s="82"/>
      <c r="EA70" s="82"/>
      <c r="EB70" s="82"/>
      <c r="EC70" s="82"/>
      <c r="ED70" s="82"/>
      <c r="EE70" s="82"/>
      <c r="EF70" s="82"/>
      <c r="EG70" s="82"/>
      <c r="EH70" s="82"/>
      <c r="EI70" s="82"/>
      <c r="EJ70" s="82"/>
      <c r="EK70" s="82"/>
      <c r="EL70" s="82"/>
      <c r="EM70" s="82"/>
      <c r="EN70" s="82"/>
      <c r="EO70" s="82"/>
      <c r="EP70" s="82"/>
      <c r="EQ70" s="82"/>
      <c r="ER70" s="82"/>
      <c r="ES70" s="82"/>
      <c r="ET70" s="82"/>
      <c r="EU70" s="82"/>
      <c r="EV70" s="82"/>
      <c r="EW70" s="82"/>
      <c r="EX70" s="82"/>
    </row>
    <row r="71" spans="1:154" s="112" customFormat="1" x14ac:dyDescent="0.3">
      <c r="A71" s="27">
        <v>63</v>
      </c>
      <c r="B71" s="36" t="s">
        <v>44</v>
      </c>
      <c r="C71" s="37" t="s">
        <v>45</v>
      </c>
      <c r="D71" s="40">
        <v>118825553</v>
      </c>
      <c r="E71" s="10" t="s">
        <v>198</v>
      </c>
      <c r="F71" s="10" t="s">
        <v>199</v>
      </c>
      <c r="G71" s="55" t="s">
        <v>194</v>
      </c>
      <c r="H71" s="10" t="s">
        <v>148</v>
      </c>
      <c r="I71" s="10" t="s">
        <v>88</v>
      </c>
      <c r="J71" s="30" t="s">
        <v>47</v>
      </c>
      <c r="K71" s="41" t="s">
        <v>196</v>
      </c>
      <c r="L71" s="42">
        <v>657.28</v>
      </c>
      <c r="M71" s="42">
        <v>25.28</v>
      </c>
      <c r="N71" s="60"/>
      <c r="O71" s="64"/>
      <c r="P71" s="61">
        <v>1</v>
      </c>
      <c r="Q71" s="60">
        <v>1</v>
      </c>
      <c r="R71" s="61">
        <v>1</v>
      </c>
      <c r="S71" s="60">
        <v>1</v>
      </c>
      <c r="T71" s="129"/>
      <c r="U71" s="60"/>
      <c r="V71" s="92"/>
      <c r="W71" s="60">
        <v>1</v>
      </c>
      <c r="X71" s="61">
        <v>1</v>
      </c>
      <c r="Y71" s="60">
        <v>1</v>
      </c>
      <c r="Z71" s="61"/>
      <c r="AA71" s="129" t="s">
        <v>38</v>
      </c>
      <c r="AB71" s="58">
        <v>1</v>
      </c>
      <c r="AC71" s="31">
        <f t="shared" si="17"/>
        <v>8</v>
      </c>
      <c r="AD71" s="34">
        <f t="shared" si="16"/>
        <v>202.24</v>
      </c>
      <c r="AE71" s="31">
        <f t="shared" si="3"/>
        <v>0</v>
      </c>
      <c r="AF71" s="31">
        <f t="shared" si="30"/>
        <v>0</v>
      </c>
      <c r="AG71" s="31">
        <v>33.18</v>
      </c>
      <c r="AH71" s="31">
        <f t="shared" si="15"/>
        <v>1</v>
      </c>
      <c r="AI71" s="31">
        <f t="shared" si="4"/>
        <v>33.18</v>
      </c>
      <c r="AJ71" s="79">
        <f t="shared" si="26"/>
        <v>0</v>
      </c>
      <c r="AK71" s="34">
        <f t="shared" si="18"/>
        <v>0</v>
      </c>
      <c r="AL71" s="80"/>
      <c r="AM71" s="34">
        <f t="shared" si="5"/>
        <v>0</v>
      </c>
      <c r="AN71" s="79">
        <v>0</v>
      </c>
      <c r="AO71" s="34">
        <f t="shared" si="19"/>
        <v>0</v>
      </c>
      <c r="AP71" s="34"/>
      <c r="AQ71" s="34"/>
      <c r="AR71" s="31"/>
      <c r="AS71" s="31"/>
      <c r="AT71" s="34">
        <f t="shared" si="6"/>
        <v>235.42000000000002</v>
      </c>
      <c r="AU71" s="34">
        <f t="shared" si="7"/>
        <v>22.953450000000004</v>
      </c>
      <c r="AV71" s="34">
        <f t="shared" si="8"/>
        <v>2.9427500000000002</v>
      </c>
      <c r="AW71" s="34"/>
      <c r="AX71" s="34"/>
      <c r="AY71" s="34">
        <v>0</v>
      </c>
      <c r="AZ71" s="34"/>
      <c r="BA71" s="34">
        <f t="shared" si="9"/>
        <v>25.896200000000004</v>
      </c>
      <c r="BB71" s="34">
        <f t="shared" si="10"/>
        <v>209.52380000000002</v>
      </c>
      <c r="BC71" s="81"/>
      <c r="BD71" s="34">
        <f t="shared" si="11"/>
        <v>25.666665500000001</v>
      </c>
      <c r="BE71" s="34">
        <f t="shared" si="12"/>
        <v>3.1428570000000002</v>
      </c>
      <c r="BF71" s="165">
        <f t="shared" si="13"/>
        <v>4.3999998000000007</v>
      </c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/>
      <c r="DA71" s="82"/>
      <c r="DB71" s="82"/>
      <c r="DC71" s="82"/>
      <c r="DD71" s="82"/>
      <c r="DE71" s="82"/>
      <c r="DF71" s="82"/>
      <c r="DG71" s="82"/>
      <c r="DH71" s="82"/>
      <c r="DI71" s="82"/>
      <c r="DJ71" s="82"/>
      <c r="DK71" s="82"/>
      <c r="DL71" s="82"/>
      <c r="DM71" s="82"/>
      <c r="DN71" s="82"/>
      <c r="DO71" s="82"/>
      <c r="DP71" s="82"/>
      <c r="DQ71" s="82"/>
      <c r="DR71" s="82"/>
      <c r="DS71" s="82"/>
      <c r="DT71" s="82"/>
      <c r="DU71" s="82"/>
      <c r="DV71" s="82"/>
      <c r="DW71" s="82"/>
      <c r="DX71" s="82"/>
      <c r="DY71" s="82"/>
      <c r="DZ71" s="82"/>
      <c r="EA71" s="82"/>
      <c r="EB71" s="82"/>
      <c r="EC71" s="82"/>
      <c r="ED71" s="82"/>
      <c r="EE71" s="82"/>
      <c r="EF71" s="82"/>
      <c r="EG71" s="82"/>
      <c r="EH71" s="82"/>
      <c r="EI71" s="82"/>
      <c r="EJ71" s="82"/>
      <c r="EK71" s="82"/>
      <c r="EL71" s="82"/>
      <c r="EM71" s="82"/>
      <c r="EN71" s="82"/>
      <c r="EO71" s="82"/>
      <c r="EP71" s="82"/>
      <c r="EQ71" s="82"/>
      <c r="ER71" s="82"/>
      <c r="ES71" s="82"/>
      <c r="ET71" s="82"/>
      <c r="EU71" s="82"/>
      <c r="EV71" s="82"/>
      <c r="EW71" s="82"/>
      <c r="EX71" s="82"/>
    </row>
    <row r="72" spans="1:154" s="112" customFormat="1" x14ac:dyDescent="0.3">
      <c r="A72" s="27">
        <v>64</v>
      </c>
      <c r="B72" s="36" t="s">
        <v>44</v>
      </c>
      <c r="C72" s="37" t="s">
        <v>45</v>
      </c>
      <c r="D72" s="40">
        <v>117043000</v>
      </c>
      <c r="E72" s="10" t="s">
        <v>197</v>
      </c>
      <c r="F72" s="10" t="s">
        <v>200</v>
      </c>
      <c r="G72" s="55" t="s">
        <v>195</v>
      </c>
      <c r="H72" s="10" t="s">
        <v>148</v>
      </c>
      <c r="I72" s="10" t="s">
        <v>88</v>
      </c>
      <c r="J72" s="30" t="s">
        <v>47</v>
      </c>
      <c r="K72" s="41" t="s">
        <v>196</v>
      </c>
      <c r="L72" s="42">
        <v>657.28</v>
      </c>
      <c r="M72" s="42">
        <v>25.28</v>
      </c>
      <c r="N72" s="60"/>
      <c r="O72" s="64">
        <v>1</v>
      </c>
      <c r="P72" s="61"/>
      <c r="Q72" s="60"/>
      <c r="R72" s="61">
        <v>1</v>
      </c>
      <c r="S72" s="60">
        <v>1</v>
      </c>
      <c r="T72" s="129" t="s">
        <v>38</v>
      </c>
      <c r="U72" s="60">
        <v>1</v>
      </c>
      <c r="V72" s="92">
        <v>1</v>
      </c>
      <c r="W72" s="60">
        <v>1</v>
      </c>
      <c r="X72" s="61">
        <v>1</v>
      </c>
      <c r="Y72" s="60"/>
      <c r="Z72" s="61"/>
      <c r="AA72" s="129" t="s">
        <v>38</v>
      </c>
      <c r="AB72" s="58"/>
      <c r="AC72" s="31">
        <f t="shared" si="17"/>
        <v>7</v>
      </c>
      <c r="AD72" s="34">
        <f t="shared" si="16"/>
        <v>176.96</v>
      </c>
      <c r="AE72" s="31">
        <f t="shared" si="3"/>
        <v>0</v>
      </c>
      <c r="AF72" s="31">
        <f t="shared" si="30"/>
        <v>0</v>
      </c>
      <c r="AG72" s="31">
        <v>33.18</v>
      </c>
      <c r="AH72" s="31">
        <f t="shared" si="15"/>
        <v>2</v>
      </c>
      <c r="AI72" s="31">
        <f t="shared" si="4"/>
        <v>66.36</v>
      </c>
      <c r="AJ72" s="79">
        <f t="shared" si="26"/>
        <v>0</v>
      </c>
      <c r="AK72" s="34">
        <f t="shared" si="18"/>
        <v>0</v>
      </c>
      <c r="AL72" s="80"/>
      <c r="AM72" s="34">
        <f t="shared" si="5"/>
        <v>0</v>
      </c>
      <c r="AN72" s="79">
        <v>0</v>
      </c>
      <c r="AO72" s="34">
        <f t="shared" si="19"/>
        <v>0</v>
      </c>
      <c r="AP72" s="34"/>
      <c r="AQ72" s="34"/>
      <c r="AR72" s="31"/>
      <c r="AS72" s="31"/>
      <c r="AT72" s="34">
        <f t="shared" si="6"/>
        <v>243.32</v>
      </c>
      <c r="AU72" s="34">
        <f t="shared" si="7"/>
        <v>23.723700000000001</v>
      </c>
      <c r="AV72" s="34">
        <f t="shared" si="8"/>
        <v>3.0415000000000001</v>
      </c>
      <c r="AW72" s="34"/>
      <c r="AX72" s="34"/>
      <c r="AY72" s="34">
        <v>0</v>
      </c>
      <c r="AZ72" s="34"/>
      <c r="BA72" s="34">
        <f t="shared" si="9"/>
        <v>26.7652</v>
      </c>
      <c r="BB72" s="34">
        <f t="shared" si="10"/>
        <v>216.5548</v>
      </c>
      <c r="BC72" s="81"/>
      <c r="BD72" s="34">
        <f t="shared" si="11"/>
        <v>26.527963</v>
      </c>
      <c r="BE72" s="34">
        <f t="shared" si="12"/>
        <v>3.2483219999999999</v>
      </c>
      <c r="BF72" s="165">
        <f t="shared" si="13"/>
        <v>4.5476508000000004</v>
      </c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82"/>
      <c r="DT72" s="82"/>
      <c r="DU72" s="82"/>
      <c r="DV72" s="82"/>
      <c r="DW72" s="82"/>
      <c r="DX72" s="82"/>
      <c r="DY72" s="82"/>
      <c r="DZ72" s="82"/>
      <c r="EA72" s="82"/>
      <c r="EB72" s="82"/>
      <c r="EC72" s="82"/>
      <c r="ED72" s="82"/>
      <c r="EE72" s="82"/>
      <c r="EF72" s="82"/>
      <c r="EG72" s="82"/>
      <c r="EH72" s="82"/>
      <c r="EI72" s="82"/>
      <c r="EJ72" s="82"/>
      <c r="EK72" s="82"/>
      <c r="EL72" s="82"/>
      <c r="EM72" s="82"/>
      <c r="EN72" s="82"/>
      <c r="EO72" s="82"/>
      <c r="EP72" s="82"/>
      <c r="EQ72" s="82"/>
      <c r="ER72" s="82"/>
      <c r="ES72" s="82"/>
      <c r="ET72" s="82"/>
      <c r="EU72" s="82"/>
      <c r="EV72" s="82"/>
      <c r="EW72" s="82"/>
      <c r="EX72" s="82"/>
    </row>
    <row r="73" spans="1:154" x14ac:dyDescent="0.3">
      <c r="A73" s="27">
        <v>65</v>
      </c>
      <c r="B73" s="36" t="s">
        <v>44</v>
      </c>
      <c r="C73" s="37" t="s">
        <v>45</v>
      </c>
      <c r="D73" s="107">
        <v>118937556</v>
      </c>
      <c r="E73" s="107" t="s">
        <v>259</v>
      </c>
      <c r="F73" s="107" t="s">
        <v>267</v>
      </c>
      <c r="G73" s="163" t="s">
        <v>231</v>
      </c>
      <c r="H73" s="10" t="s">
        <v>148</v>
      </c>
      <c r="I73" s="10" t="s">
        <v>88</v>
      </c>
      <c r="J73" s="30" t="s">
        <v>47</v>
      </c>
      <c r="K73" s="41" t="s">
        <v>263</v>
      </c>
      <c r="L73" s="42">
        <v>657.28</v>
      </c>
      <c r="M73" s="42">
        <v>25.28</v>
      </c>
      <c r="N73" s="125">
        <v>1</v>
      </c>
      <c r="O73" s="125"/>
      <c r="P73" s="125">
        <v>1</v>
      </c>
      <c r="Q73" s="125">
        <v>1</v>
      </c>
      <c r="R73" s="125"/>
      <c r="S73" s="125">
        <v>1</v>
      </c>
      <c r="T73" s="134"/>
      <c r="U73" s="125">
        <v>1</v>
      </c>
      <c r="V73" s="125">
        <v>1</v>
      </c>
      <c r="W73" s="125">
        <v>1</v>
      </c>
      <c r="X73" s="125">
        <v>1</v>
      </c>
      <c r="Y73" s="125"/>
      <c r="Z73" s="125"/>
      <c r="AA73" s="134" t="s">
        <v>38</v>
      </c>
      <c r="AB73" s="125">
        <v>1</v>
      </c>
      <c r="AC73" s="31">
        <f t="shared" si="17"/>
        <v>9</v>
      </c>
      <c r="AD73" s="34">
        <f t="shared" si="16"/>
        <v>227.52</v>
      </c>
      <c r="AE73" s="31">
        <f t="shared" ref="AE73:AE84" si="36">COUNTIF(N76:AB76,"V")</f>
        <v>0</v>
      </c>
      <c r="AF73" s="31">
        <f t="shared" si="30"/>
        <v>0</v>
      </c>
      <c r="AG73" s="31">
        <v>33.18</v>
      </c>
      <c r="AH73" s="31">
        <f t="shared" si="15"/>
        <v>1</v>
      </c>
      <c r="AI73" s="31">
        <f t="shared" si="4"/>
        <v>33.18</v>
      </c>
      <c r="AJ73" s="79">
        <f t="shared" si="26"/>
        <v>0</v>
      </c>
      <c r="AK73" s="34">
        <f t="shared" si="18"/>
        <v>0</v>
      </c>
      <c r="AL73" s="80"/>
      <c r="AM73" s="34">
        <f t="shared" si="5"/>
        <v>0</v>
      </c>
      <c r="AN73" s="79">
        <v>0</v>
      </c>
      <c r="AO73" s="34">
        <f t="shared" si="19"/>
        <v>0</v>
      </c>
      <c r="AP73" s="34"/>
      <c r="AQ73" s="34"/>
      <c r="AR73" s="31"/>
      <c r="AS73" s="31"/>
      <c r="AT73" s="34">
        <f t="shared" ref="AT73:AT84" si="37">AD73+AI73+AK73+AM73+AO73+AR73</f>
        <v>260.7</v>
      </c>
      <c r="AU73" s="34">
        <f t="shared" ref="AU73:AU84" si="38">AT73*9.75%</f>
        <v>25.41825</v>
      </c>
      <c r="AV73" s="34">
        <f t="shared" ref="AV73:AV84" si="39">AT73*1.25%</f>
        <v>3.25875</v>
      </c>
      <c r="AW73" s="34"/>
      <c r="AX73" s="34"/>
      <c r="AY73" s="34">
        <v>0</v>
      </c>
      <c r="AZ73" s="34"/>
      <c r="BA73" s="34">
        <f t="shared" ref="BA73:BA84" si="40">AU73+AV73+AW73+AZ73+AY73</f>
        <v>28.677</v>
      </c>
      <c r="BB73" s="34">
        <f t="shared" ref="BB73:BB84" si="41">AT73+AX73-BA73</f>
        <v>232.023</v>
      </c>
      <c r="BC73" s="81"/>
      <c r="BD73" s="34">
        <f t="shared" ref="BD73:BD84" si="42">BB73*12.25%</f>
        <v>28.422817500000001</v>
      </c>
      <c r="BE73" s="34">
        <f t="shared" ref="BE73:BE84" si="43">BB73*1.5%</f>
        <v>3.4803449999999998</v>
      </c>
      <c r="BF73" s="165">
        <f t="shared" ref="BF73:BF84" si="44">BB73*0.021</f>
        <v>4.8724829999999999</v>
      </c>
    </row>
    <row r="74" spans="1:154" s="78" customFormat="1" ht="31.2" x14ac:dyDescent="0.3">
      <c r="A74" s="27">
        <v>66</v>
      </c>
      <c r="B74" s="36" t="s">
        <v>44</v>
      </c>
      <c r="C74" s="119" t="s">
        <v>191</v>
      </c>
      <c r="D74" s="135">
        <v>472005636961</v>
      </c>
      <c r="E74" s="53" t="s">
        <v>260</v>
      </c>
      <c r="F74" s="53" t="s">
        <v>268</v>
      </c>
      <c r="G74" s="164" t="s">
        <v>232</v>
      </c>
      <c r="H74" s="10" t="s">
        <v>148</v>
      </c>
      <c r="I74" s="10" t="s">
        <v>88</v>
      </c>
      <c r="J74" s="30" t="s">
        <v>47</v>
      </c>
      <c r="K74" s="41" t="s">
        <v>264</v>
      </c>
      <c r="L74" s="42">
        <v>657.28</v>
      </c>
      <c r="M74" s="42">
        <v>25.28</v>
      </c>
      <c r="N74" s="136">
        <v>1</v>
      </c>
      <c r="O74" s="136"/>
      <c r="P74" s="136">
        <v>1</v>
      </c>
      <c r="Q74" s="136"/>
      <c r="R74" s="136"/>
      <c r="S74" s="159" t="s">
        <v>229</v>
      </c>
      <c r="T74" s="159" t="s">
        <v>229</v>
      </c>
      <c r="U74" s="159" t="s">
        <v>229</v>
      </c>
      <c r="V74" s="159" t="s">
        <v>229</v>
      </c>
      <c r="W74" s="159" t="s">
        <v>229</v>
      </c>
      <c r="X74" s="159" t="s">
        <v>229</v>
      </c>
      <c r="Y74" s="159" t="s">
        <v>229</v>
      </c>
      <c r="Z74" s="159" t="s">
        <v>229</v>
      </c>
      <c r="AA74" s="159" t="s">
        <v>229</v>
      </c>
      <c r="AB74" s="159" t="s">
        <v>229</v>
      </c>
      <c r="AC74" s="31">
        <f t="shared" si="17"/>
        <v>2</v>
      </c>
      <c r="AD74" s="34">
        <f t="shared" si="16"/>
        <v>50.56</v>
      </c>
      <c r="AE74" s="31">
        <f t="shared" si="36"/>
        <v>0</v>
      </c>
      <c r="AF74" s="31">
        <f t="shared" si="30"/>
        <v>0</v>
      </c>
      <c r="AG74" s="31">
        <v>33.18</v>
      </c>
      <c r="AH74" s="31">
        <f t="shared" si="15"/>
        <v>0</v>
      </c>
      <c r="AI74" s="31">
        <f t="shared" si="4"/>
        <v>0</v>
      </c>
      <c r="AJ74" s="79">
        <f t="shared" si="26"/>
        <v>0</v>
      </c>
      <c r="AK74" s="34">
        <f t="shared" si="18"/>
        <v>0</v>
      </c>
      <c r="AL74" s="80"/>
      <c r="AM74" s="34">
        <f t="shared" ref="AM74:AM84" si="45">3.16*8*2.5*AL74</f>
        <v>0</v>
      </c>
      <c r="AN74" s="79">
        <v>0</v>
      </c>
      <c r="AO74" s="34">
        <f t="shared" si="19"/>
        <v>0</v>
      </c>
      <c r="AP74" s="34"/>
      <c r="AQ74" s="34"/>
      <c r="AR74" s="31"/>
      <c r="AS74" s="31"/>
      <c r="AT74" s="34">
        <f t="shared" si="37"/>
        <v>50.56</v>
      </c>
      <c r="AU74" s="34">
        <f t="shared" si="38"/>
        <v>4.9296000000000006</v>
      </c>
      <c r="AV74" s="34">
        <f t="shared" si="39"/>
        <v>0.63200000000000012</v>
      </c>
      <c r="AW74" s="34"/>
      <c r="AX74" s="34"/>
      <c r="AY74" s="34">
        <v>0</v>
      </c>
      <c r="AZ74" s="34"/>
      <c r="BA74" s="34">
        <f t="shared" si="40"/>
        <v>5.5616000000000003</v>
      </c>
      <c r="BB74" s="34">
        <f t="shared" si="41"/>
        <v>44.998400000000004</v>
      </c>
      <c r="BC74" s="81"/>
      <c r="BD74" s="34">
        <f t="shared" si="42"/>
        <v>5.5123040000000003</v>
      </c>
      <c r="BE74" s="34">
        <f t="shared" si="43"/>
        <v>0.67497600000000002</v>
      </c>
      <c r="BF74" s="165">
        <f t="shared" si="44"/>
        <v>0.9449664000000001</v>
      </c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</row>
    <row r="75" spans="1:154" x14ac:dyDescent="0.3">
      <c r="A75" s="27">
        <v>67</v>
      </c>
      <c r="B75" s="36" t="s">
        <v>44</v>
      </c>
      <c r="C75" s="118" t="s">
        <v>45</v>
      </c>
      <c r="D75" s="30">
        <v>117043000</v>
      </c>
      <c r="E75" s="107" t="s">
        <v>261</v>
      </c>
      <c r="F75" s="107" t="s">
        <v>262</v>
      </c>
      <c r="G75" s="163" t="s">
        <v>233</v>
      </c>
      <c r="H75" s="10" t="s">
        <v>148</v>
      </c>
      <c r="I75" s="10" t="s">
        <v>88</v>
      </c>
      <c r="J75" s="30" t="s">
        <v>47</v>
      </c>
      <c r="K75" s="41" t="s">
        <v>264</v>
      </c>
      <c r="L75" s="42">
        <v>657.28</v>
      </c>
      <c r="M75" s="42">
        <v>25.28</v>
      </c>
      <c r="N75" s="125">
        <v>1</v>
      </c>
      <c r="O75" s="125"/>
      <c r="P75" s="125"/>
      <c r="Q75" s="125">
        <v>1</v>
      </c>
      <c r="R75" s="125">
        <v>1</v>
      </c>
      <c r="S75" s="125">
        <v>1</v>
      </c>
      <c r="T75" s="134"/>
      <c r="U75" s="125">
        <v>1</v>
      </c>
      <c r="V75" s="125"/>
      <c r="W75" s="125"/>
      <c r="X75" s="125">
        <v>1</v>
      </c>
      <c r="Y75" s="108" t="s">
        <v>229</v>
      </c>
      <c r="Z75" s="108" t="s">
        <v>229</v>
      </c>
      <c r="AA75" s="108" t="s">
        <v>229</v>
      </c>
      <c r="AB75" s="108" t="s">
        <v>229</v>
      </c>
      <c r="AC75" s="31">
        <f t="shared" si="17"/>
        <v>6</v>
      </c>
      <c r="AD75" s="34">
        <f t="shared" si="16"/>
        <v>151.68</v>
      </c>
      <c r="AE75" s="31">
        <f t="shared" si="36"/>
        <v>0</v>
      </c>
      <c r="AF75" s="31">
        <f t="shared" si="30"/>
        <v>0</v>
      </c>
      <c r="AG75" s="31">
        <v>33.18</v>
      </c>
      <c r="AH75" s="31">
        <f t="shared" ref="AH75:AH84" si="46">+COUNTIF(N75:AB75,"D")</f>
        <v>0</v>
      </c>
      <c r="AI75" s="31">
        <f t="shared" si="4"/>
        <v>0</v>
      </c>
      <c r="AJ75" s="79">
        <f t="shared" si="26"/>
        <v>0</v>
      </c>
      <c r="AK75" s="34">
        <f t="shared" si="18"/>
        <v>0</v>
      </c>
      <c r="AL75" s="80"/>
      <c r="AM75" s="34">
        <f t="shared" si="45"/>
        <v>0</v>
      </c>
      <c r="AN75" s="79">
        <v>0</v>
      </c>
      <c r="AO75" s="34">
        <f t="shared" si="19"/>
        <v>0</v>
      </c>
      <c r="AP75" s="34"/>
      <c r="AQ75" s="34"/>
      <c r="AR75" s="31"/>
      <c r="AS75" s="31"/>
      <c r="AT75" s="34">
        <f t="shared" si="37"/>
        <v>151.68</v>
      </c>
      <c r="AU75" s="34">
        <f t="shared" si="38"/>
        <v>14.788800000000002</v>
      </c>
      <c r="AV75" s="34">
        <f t="shared" si="39"/>
        <v>1.8960000000000001</v>
      </c>
      <c r="AW75" s="34"/>
      <c r="AX75" s="34"/>
      <c r="AY75" s="34">
        <v>0</v>
      </c>
      <c r="AZ75" s="34"/>
      <c r="BA75" s="34">
        <f t="shared" si="40"/>
        <v>16.684800000000003</v>
      </c>
      <c r="BB75" s="34">
        <f t="shared" si="41"/>
        <v>134.99520000000001</v>
      </c>
      <c r="BC75" s="81"/>
      <c r="BD75" s="34">
        <f t="shared" si="42"/>
        <v>16.536912000000001</v>
      </c>
      <c r="BE75" s="34">
        <f t="shared" si="43"/>
        <v>2.0249280000000001</v>
      </c>
      <c r="BF75" s="165">
        <f t="shared" si="44"/>
        <v>2.8348992000000006</v>
      </c>
    </row>
    <row r="76" spans="1:154" s="7" customFormat="1" x14ac:dyDescent="0.3">
      <c r="A76" s="27">
        <v>68</v>
      </c>
      <c r="B76" s="36" t="s">
        <v>44</v>
      </c>
      <c r="C76" s="118" t="s">
        <v>45</v>
      </c>
      <c r="D76" s="135">
        <v>118951516</v>
      </c>
      <c r="E76" s="53" t="s">
        <v>258</v>
      </c>
      <c r="F76" s="53" t="s">
        <v>269</v>
      </c>
      <c r="G76" s="164" t="s">
        <v>234</v>
      </c>
      <c r="H76" s="10" t="s">
        <v>148</v>
      </c>
      <c r="I76" s="10" t="s">
        <v>88</v>
      </c>
      <c r="J76" s="30" t="s">
        <v>47</v>
      </c>
      <c r="K76" s="41" t="s">
        <v>264</v>
      </c>
      <c r="L76" s="42">
        <v>657.28</v>
      </c>
      <c r="M76" s="42">
        <v>25.28</v>
      </c>
      <c r="N76" s="136">
        <v>1</v>
      </c>
      <c r="O76" s="136"/>
      <c r="P76" s="136">
        <v>1</v>
      </c>
      <c r="Q76" s="136">
        <v>1</v>
      </c>
      <c r="R76" s="136"/>
      <c r="S76" s="136">
        <v>1</v>
      </c>
      <c r="T76" s="137"/>
      <c r="U76" s="136">
        <v>1</v>
      </c>
      <c r="V76" s="136"/>
      <c r="W76" s="136">
        <v>1</v>
      </c>
      <c r="X76" s="136"/>
      <c r="Y76" s="136">
        <v>1</v>
      </c>
      <c r="Z76" s="136">
        <v>1</v>
      </c>
      <c r="AA76" s="137" t="s">
        <v>38</v>
      </c>
      <c r="AB76" s="136"/>
      <c r="AC76" s="31">
        <f t="shared" si="17"/>
        <v>8</v>
      </c>
      <c r="AD76" s="34">
        <f t="shared" ref="AD76:AD84" si="47">AC76*M76</f>
        <v>202.24</v>
      </c>
      <c r="AE76" s="31">
        <f t="shared" si="36"/>
        <v>0</v>
      </c>
      <c r="AF76" s="31">
        <f t="shared" si="30"/>
        <v>0</v>
      </c>
      <c r="AG76" s="31">
        <v>33.18</v>
      </c>
      <c r="AH76" s="31">
        <f t="shared" si="46"/>
        <v>1</v>
      </c>
      <c r="AI76" s="31">
        <f t="shared" si="4"/>
        <v>33.18</v>
      </c>
      <c r="AJ76" s="79">
        <f t="shared" si="26"/>
        <v>0</v>
      </c>
      <c r="AK76" s="34">
        <f t="shared" si="18"/>
        <v>0</v>
      </c>
      <c r="AL76" s="80"/>
      <c r="AM76" s="34">
        <f t="shared" si="45"/>
        <v>0</v>
      </c>
      <c r="AN76" s="79">
        <v>0</v>
      </c>
      <c r="AO76" s="34">
        <f t="shared" si="19"/>
        <v>0</v>
      </c>
      <c r="AP76" s="34"/>
      <c r="AQ76" s="34"/>
      <c r="AR76" s="31"/>
      <c r="AS76" s="31"/>
      <c r="AT76" s="34">
        <f t="shared" si="37"/>
        <v>235.42000000000002</v>
      </c>
      <c r="AU76" s="34">
        <f t="shared" si="38"/>
        <v>22.953450000000004</v>
      </c>
      <c r="AV76" s="34">
        <f t="shared" si="39"/>
        <v>2.9427500000000002</v>
      </c>
      <c r="AW76" s="34"/>
      <c r="AX76" s="34"/>
      <c r="AY76" s="34">
        <v>0</v>
      </c>
      <c r="AZ76" s="34"/>
      <c r="BA76" s="34">
        <f t="shared" si="40"/>
        <v>25.896200000000004</v>
      </c>
      <c r="BB76" s="34">
        <f t="shared" si="41"/>
        <v>209.52380000000002</v>
      </c>
      <c r="BC76" s="81"/>
      <c r="BD76" s="34">
        <f t="shared" si="42"/>
        <v>25.666665500000001</v>
      </c>
      <c r="BE76" s="34">
        <f t="shared" si="43"/>
        <v>3.1428570000000002</v>
      </c>
      <c r="BF76" s="165">
        <f t="shared" si="44"/>
        <v>4.3999998000000007</v>
      </c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</row>
    <row r="77" spans="1:154" s="78" customFormat="1" x14ac:dyDescent="0.3">
      <c r="A77" s="27">
        <v>69</v>
      </c>
      <c r="B77" s="36" t="s">
        <v>44</v>
      </c>
      <c r="C77" s="118" t="s">
        <v>45</v>
      </c>
      <c r="D77" s="53">
        <v>118988096</v>
      </c>
      <c r="E77" s="107" t="s">
        <v>309</v>
      </c>
      <c r="F77" s="53" t="s">
        <v>310</v>
      </c>
      <c r="G77" s="54" t="s">
        <v>295</v>
      </c>
      <c r="H77" s="53" t="s">
        <v>148</v>
      </c>
      <c r="I77" s="53" t="s">
        <v>88</v>
      </c>
      <c r="J77" s="52" t="s">
        <v>47</v>
      </c>
      <c r="K77" s="56">
        <v>46362</v>
      </c>
      <c r="L77" s="42">
        <v>657.28</v>
      </c>
      <c r="M77" s="42">
        <v>25.28</v>
      </c>
      <c r="N77" s="57"/>
      <c r="O77" s="154"/>
      <c r="P77" s="57"/>
      <c r="Q77" s="58"/>
      <c r="R77" s="58"/>
      <c r="S77" s="57"/>
      <c r="T77" s="153"/>
      <c r="U77" s="57"/>
      <c r="V77" s="57"/>
      <c r="W77" s="58"/>
      <c r="X77" s="57">
        <v>1</v>
      </c>
      <c r="Y77" s="57"/>
      <c r="Z77" s="58"/>
      <c r="AA77" s="128"/>
      <c r="AB77" s="58">
        <v>1</v>
      </c>
      <c r="AC77" s="31">
        <f t="shared" ref="AC77:AC84" si="48">+COUNTIF(N77:AB77,"1")</f>
        <v>2</v>
      </c>
      <c r="AD77" s="34">
        <f t="shared" si="47"/>
        <v>50.56</v>
      </c>
      <c r="AE77" s="31">
        <f t="shared" si="36"/>
        <v>0</v>
      </c>
      <c r="AF77" s="31">
        <f t="shared" si="30"/>
        <v>0</v>
      </c>
      <c r="AG77" s="31">
        <v>33.18</v>
      </c>
      <c r="AH77" s="31">
        <f t="shared" si="46"/>
        <v>0</v>
      </c>
      <c r="AI77" s="31">
        <f t="shared" si="4"/>
        <v>0</v>
      </c>
      <c r="AJ77" s="79">
        <f t="shared" si="26"/>
        <v>0</v>
      </c>
      <c r="AK77" s="34">
        <f t="shared" si="18"/>
        <v>0</v>
      </c>
      <c r="AL77" s="138"/>
      <c r="AM77" s="34">
        <f t="shared" si="45"/>
        <v>0</v>
      </c>
      <c r="AN77" s="79">
        <v>0</v>
      </c>
      <c r="AO77" s="34">
        <f t="shared" si="19"/>
        <v>0</v>
      </c>
      <c r="AP77" s="122"/>
      <c r="AQ77" s="122"/>
      <c r="AR77" s="44"/>
      <c r="AS77" s="44"/>
      <c r="AT77" s="34">
        <f t="shared" si="37"/>
        <v>50.56</v>
      </c>
      <c r="AU77" s="34">
        <f t="shared" si="38"/>
        <v>4.9296000000000006</v>
      </c>
      <c r="AV77" s="34">
        <f t="shared" si="39"/>
        <v>0.63200000000000012</v>
      </c>
      <c r="AW77" s="122"/>
      <c r="AX77" s="122"/>
      <c r="AY77" s="34">
        <v>2.5</v>
      </c>
      <c r="AZ77" s="122"/>
      <c r="BA77" s="34">
        <f t="shared" si="40"/>
        <v>8.0616000000000003</v>
      </c>
      <c r="BB77" s="34">
        <f t="shared" si="41"/>
        <v>42.498400000000004</v>
      </c>
      <c r="BC77" s="139"/>
      <c r="BD77" s="34">
        <f t="shared" si="42"/>
        <v>5.206054</v>
      </c>
      <c r="BE77" s="34">
        <f t="shared" si="43"/>
        <v>0.63747600000000004</v>
      </c>
      <c r="BF77" s="165">
        <f t="shared" si="44"/>
        <v>0.8924664000000001</v>
      </c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82"/>
      <c r="DT77" s="82"/>
      <c r="DU77" s="82"/>
      <c r="DV77" s="82"/>
      <c r="DW77" s="82"/>
      <c r="DX77" s="82"/>
      <c r="DY77" s="82"/>
      <c r="DZ77" s="82"/>
      <c r="EA77" s="82"/>
      <c r="EB77" s="82"/>
      <c r="EC77" s="82"/>
      <c r="ED77" s="82"/>
      <c r="EE77" s="82"/>
      <c r="EF77" s="82"/>
      <c r="EG77" s="82"/>
      <c r="EH77" s="82"/>
      <c r="EI77" s="82"/>
      <c r="EJ77" s="82"/>
      <c r="EK77" s="82"/>
      <c r="EL77" s="82"/>
      <c r="EM77" s="82"/>
      <c r="EN77" s="82"/>
      <c r="EO77" s="82"/>
      <c r="EP77" s="82"/>
      <c r="EQ77" s="82"/>
      <c r="ER77" s="82"/>
      <c r="ES77" s="82"/>
      <c r="ET77" s="82"/>
      <c r="EU77" s="82"/>
      <c r="EV77" s="82"/>
      <c r="EW77" s="82"/>
      <c r="EX77" s="82"/>
    </row>
    <row r="78" spans="1:154" x14ac:dyDescent="0.3">
      <c r="A78" s="27">
        <v>70</v>
      </c>
      <c r="B78" s="36" t="s">
        <v>44</v>
      </c>
      <c r="C78" s="118" t="s">
        <v>45</v>
      </c>
      <c r="D78" s="107">
        <v>118987817</v>
      </c>
      <c r="E78" s="107" t="s">
        <v>311</v>
      </c>
      <c r="F78" s="107" t="s">
        <v>312</v>
      </c>
      <c r="G78" s="163" t="s">
        <v>296</v>
      </c>
      <c r="H78" s="10" t="s">
        <v>148</v>
      </c>
      <c r="I78" s="10" t="s">
        <v>88</v>
      </c>
      <c r="J78" s="30" t="s">
        <v>47</v>
      </c>
      <c r="K78" s="56">
        <v>46362</v>
      </c>
      <c r="L78" s="42">
        <v>657.28</v>
      </c>
      <c r="M78" s="42">
        <v>25.28</v>
      </c>
      <c r="N78" s="109"/>
      <c r="O78" s="109"/>
      <c r="P78" s="109"/>
      <c r="Q78" s="109"/>
      <c r="R78" s="109"/>
      <c r="S78" s="109"/>
      <c r="T78" s="134"/>
      <c r="U78" s="109"/>
      <c r="V78" s="109"/>
      <c r="W78" s="109"/>
      <c r="X78" s="109">
        <v>1</v>
      </c>
      <c r="Y78" s="109">
        <v>1</v>
      </c>
      <c r="Z78" s="109"/>
      <c r="AA78" s="134"/>
      <c r="AB78" s="109">
        <v>1</v>
      </c>
      <c r="AC78" s="31">
        <f t="shared" si="48"/>
        <v>3</v>
      </c>
      <c r="AD78" s="34">
        <f t="shared" si="47"/>
        <v>75.84</v>
      </c>
      <c r="AE78" s="31">
        <f t="shared" si="36"/>
        <v>0</v>
      </c>
      <c r="AF78" s="31">
        <f t="shared" si="30"/>
        <v>0</v>
      </c>
      <c r="AG78" s="31">
        <v>33.18</v>
      </c>
      <c r="AH78" s="31">
        <f t="shared" si="46"/>
        <v>0</v>
      </c>
      <c r="AI78" s="31">
        <f t="shared" ref="AI78:AI84" si="49">AH78*AG78</f>
        <v>0</v>
      </c>
      <c r="AJ78" s="79">
        <f t="shared" si="26"/>
        <v>0</v>
      </c>
      <c r="AK78" s="34">
        <f t="shared" ref="AK78:AK84" si="50">AJ78*M78</f>
        <v>0</v>
      </c>
      <c r="AL78" s="107"/>
      <c r="AM78" s="34">
        <f t="shared" si="45"/>
        <v>0</v>
      </c>
      <c r="AN78" s="79">
        <v>0</v>
      </c>
      <c r="AO78" s="34">
        <f t="shared" ref="AO78:AO84" si="51">M78*1.5*AN78</f>
        <v>0</v>
      </c>
      <c r="AP78" s="107"/>
      <c r="AQ78" s="107"/>
      <c r="AR78" s="156"/>
      <c r="AS78" s="156"/>
      <c r="AT78" s="34">
        <f t="shared" si="37"/>
        <v>75.84</v>
      </c>
      <c r="AU78" s="34">
        <f t="shared" si="38"/>
        <v>7.394400000000001</v>
      </c>
      <c r="AV78" s="34">
        <f t="shared" si="39"/>
        <v>0.94800000000000006</v>
      </c>
      <c r="AW78" s="156"/>
      <c r="AX78" s="156"/>
      <c r="AY78" s="34">
        <v>2.5</v>
      </c>
      <c r="AZ78" s="156"/>
      <c r="BA78" s="34">
        <f t="shared" si="40"/>
        <v>10.842400000000001</v>
      </c>
      <c r="BB78" s="34">
        <f t="shared" si="41"/>
        <v>64.997600000000006</v>
      </c>
      <c r="BC78" s="107"/>
      <c r="BD78" s="34">
        <f t="shared" si="42"/>
        <v>7.9622060000000001</v>
      </c>
      <c r="BE78" s="34">
        <f t="shared" si="43"/>
        <v>0.97496400000000005</v>
      </c>
      <c r="BF78" s="165">
        <f t="shared" si="44"/>
        <v>1.3649496000000001</v>
      </c>
    </row>
    <row r="79" spans="1:154" x14ac:dyDescent="0.3">
      <c r="A79" s="27">
        <v>71</v>
      </c>
      <c r="B79" s="36" t="s">
        <v>44</v>
      </c>
      <c r="C79" s="118" t="s">
        <v>45</v>
      </c>
      <c r="D79" s="107">
        <v>118987817</v>
      </c>
      <c r="E79" s="107" t="s">
        <v>313</v>
      </c>
      <c r="F79" s="107" t="s">
        <v>314</v>
      </c>
      <c r="G79" s="163" t="s">
        <v>297</v>
      </c>
      <c r="H79" s="10" t="s">
        <v>148</v>
      </c>
      <c r="I79" s="10" t="s">
        <v>88</v>
      </c>
      <c r="J79" s="30" t="s">
        <v>47</v>
      </c>
      <c r="K79" s="56">
        <v>46362</v>
      </c>
      <c r="L79" s="42">
        <v>657.28</v>
      </c>
      <c r="M79" s="42">
        <v>25.28</v>
      </c>
      <c r="N79" s="109"/>
      <c r="O79" s="109"/>
      <c r="P79" s="109"/>
      <c r="Q79" s="109"/>
      <c r="R79" s="109"/>
      <c r="S79" s="109"/>
      <c r="T79" s="134"/>
      <c r="U79" s="109"/>
      <c r="V79" s="109"/>
      <c r="W79" s="109"/>
      <c r="X79" s="185">
        <v>1</v>
      </c>
      <c r="Y79" s="109">
        <v>1</v>
      </c>
      <c r="Z79" s="109"/>
      <c r="AA79" s="134" t="s">
        <v>38</v>
      </c>
      <c r="AB79" s="109"/>
      <c r="AC79" s="31">
        <f t="shared" si="48"/>
        <v>2</v>
      </c>
      <c r="AD79" s="34">
        <f t="shared" si="47"/>
        <v>50.56</v>
      </c>
      <c r="AE79" s="31">
        <f t="shared" si="36"/>
        <v>0</v>
      </c>
      <c r="AF79" s="31">
        <f t="shared" si="30"/>
        <v>0</v>
      </c>
      <c r="AG79" s="31">
        <v>33.18</v>
      </c>
      <c r="AH79" s="31">
        <f t="shared" si="46"/>
        <v>1</v>
      </c>
      <c r="AI79" s="31">
        <f t="shared" si="49"/>
        <v>33.18</v>
      </c>
      <c r="AJ79" s="79">
        <f t="shared" ref="AJ79:AJ84" si="52">+COUNTIF(N79:AB79,"I")</f>
        <v>0</v>
      </c>
      <c r="AK79" s="34">
        <f t="shared" si="50"/>
        <v>0</v>
      </c>
      <c r="AL79" s="107"/>
      <c r="AM79" s="34">
        <f t="shared" si="45"/>
        <v>0</v>
      </c>
      <c r="AN79" s="79">
        <v>0</v>
      </c>
      <c r="AO79" s="34">
        <f t="shared" si="51"/>
        <v>0</v>
      </c>
      <c r="AP79" s="107"/>
      <c r="AQ79" s="107"/>
      <c r="AR79" s="156"/>
      <c r="AS79" s="156"/>
      <c r="AT79" s="34">
        <f t="shared" si="37"/>
        <v>83.740000000000009</v>
      </c>
      <c r="AU79" s="34">
        <f t="shared" si="38"/>
        <v>8.1646500000000017</v>
      </c>
      <c r="AV79" s="34">
        <f t="shared" si="39"/>
        <v>1.0467500000000001</v>
      </c>
      <c r="AW79" s="156"/>
      <c r="AX79" s="156"/>
      <c r="AY79" s="34">
        <v>2.5</v>
      </c>
      <c r="AZ79" s="156"/>
      <c r="BA79" s="34">
        <f t="shared" si="40"/>
        <v>11.711400000000001</v>
      </c>
      <c r="BB79" s="34">
        <f t="shared" si="41"/>
        <v>72.028600000000012</v>
      </c>
      <c r="BC79" s="107"/>
      <c r="BD79" s="34">
        <f t="shared" si="42"/>
        <v>8.8235035000000011</v>
      </c>
      <c r="BE79" s="34">
        <f t="shared" si="43"/>
        <v>1.0804290000000001</v>
      </c>
      <c r="BF79" s="165">
        <f t="shared" si="44"/>
        <v>1.5126006000000003</v>
      </c>
    </row>
    <row r="80" spans="1:154" x14ac:dyDescent="0.3">
      <c r="A80" s="27">
        <v>72</v>
      </c>
      <c r="B80" s="36" t="s">
        <v>44</v>
      </c>
      <c r="C80" s="118" t="s">
        <v>45</v>
      </c>
      <c r="D80" s="107">
        <v>118987825</v>
      </c>
      <c r="E80" s="107" t="s">
        <v>315</v>
      </c>
      <c r="F80" s="107" t="s">
        <v>316</v>
      </c>
      <c r="G80" s="163" t="s">
        <v>298</v>
      </c>
      <c r="H80" s="10" t="s">
        <v>148</v>
      </c>
      <c r="I80" s="10" t="s">
        <v>88</v>
      </c>
      <c r="J80" s="30" t="s">
        <v>47</v>
      </c>
      <c r="K80" s="56">
        <v>46362</v>
      </c>
      <c r="L80" s="42">
        <v>657.28</v>
      </c>
      <c r="M80" s="42">
        <v>25.28</v>
      </c>
      <c r="N80" s="109"/>
      <c r="O80" s="109"/>
      <c r="P80" s="109"/>
      <c r="Q80" s="109"/>
      <c r="R80" s="109"/>
      <c r="S80" s="109"/>
      <c r="T80" s="134"/>
      <c r="U80" s="109"/>
      <c r="V80" s="109"/>
      <c r="W80" s="109"/>
      <c r="X80" s="109">
        <v>1</v>
      </c>
      <c r="Y80" s="109"/>
      <c r="Z80" s="109"/>
      <c r="AA80" s="134"/>
      <c r="AB80" s="109">
        <v>1</v>
      </c>
      <c r="AC80" s="31">
        <f t="shared" si="48"/>
        <v>2</v>
      </c>
      <c r="AD80" s="34">
        <f t="shared" si="47"/>
        <v>50.56</v>
      </c>
      <c r="AE80" s="31">
        <f t="shared" si="36"/>
        <v>0</v>
      </c>
      <c r="AF80" s="31">
        <f t="shared" si="30"/>
        <v>0</v>
      </c>
      <c r="AG80" s="31">
        <v>33.18</v>
      </c>
      <c r="AH80" s="31">
        <f t="shared" si="46"/>
        <v>0</v>
      </c>
      <c r="AI80" s="31">
        <f t="shared" si="49"/>
        <v>0</v>
      </c>
      <c r="AJ80" s="79">
        <f t="shared" si="52"/>
        <v>0</v>
      </c>
      <c r="AK80" s="34">
        <f t="shared" si="50"/>
        <v>0</v>
      </c>
      <c r="AL80" s="107"/>
      <c r="AM80" s="34">
        <f t="shared" si="45"/>
        <v>0</v>
      </c>
      <c r="AN80" s="79">
        <v>0</v>
      </c>
      <c r="AO80" s="34">
        <f t="shared" si="51"/>
        <v>0</v>
      </c>
      <c r="AP80" s="107"/>
      <c r="AQ80" s="107"/>
      <c r="AR80" s="156"/>
      <c r="AS80" s="156"/>
      <c r="AT80" s="34">
        <f t="shared" si="37"/>
        <v>50.56</v>
      </c>
      <c r="AU80" s="34">
        <f t="shared" si="38"/>
        <v>4.9296000000000006</v>
      </c>
      <c r="AV80" s="34">
        <f t="shared" si="39"/>
        <v>0.63200000000000012</v>
      </c>
      <c r="AW80" s="156"/>
      <c r="AX80" s="156"/>
      <c r="AY80" s="34">
        <v>2.5</v>
      </c>
      <c r="AZ80" s="156"/>
      <c r="BA80" s="34">
        <f t="shared" si="40"/>
        <v>8.0616000000000003</v>
      </c>
      <c r="BB80" s="34">
        <f t="shared" si="41"/>
        <v>42.498400000000004</v>
      </c>
      <c r="BC80" s="107"/>
      <c r="BD80" s="34">
        <f t="shared" si="42"/>
        <v>5.206054</v>
      </c>
      <c r="BE80" s="34">
        <f t="shared" si="43"/>
        <v>0.63747600000000004</v>
      </c>
      <c r="BF80" s="165">
        <f t="shared" si="44"/>
        <v>0.8924664000000001</v>
      </c>
    </row>
    <row r="81" spans="1:154" x14ac:dyDescent="0.3">
      <c r="A81" s="27">
        <v>73</v>
      </c>
      <c r="B81" s="36" t="s">
        <v>44</v>
      </c>
      <c r="C81" s="118" t="s">
        <v>45</v>
      </c>
      <c r="D81" s="107">
        <v>118988708</v>
      </c>
      <c r="E81" s="107" t="s">
        <v>317</v>
      </c>
      <c r="F81" s="107" t="s">
        <v>318</v>
      </c>
      <c r="G81" s="163" t="s">
        <v>299</v>
      </c>
      <c r="H81" s="53" t="s">
        <v>148</v>
      </c>
      <c r="I81" s="53" t="s">
        <v>88</v>
      </c>
      <c r="J81" s="52" t="s">
        <v>47</v>
      </c>
      <c r="K81" s="56">
        <v>46362</v>
      </c>
      <c r="L81" s="42">
        <v>657.28</v>
      </c>
      <c r="M81" s="42">
        <v>25.28</v>
      </c>
      <c r="N81" s="109"/>
      <c r="O81" s="109"/>
      <c r="P81" s="109"/>
      <c r="Q81" s="109"/>
      <c r="R81" s="109"/>
      <c r="S81" s="109"/>
      <c r="T81" s="134"/>
      <c r="U81" s="109"/>
      <c r="V81" s="109"/>
      <c r="W81" s="109"/>
      <c r="X81" s="109">
        <v>1</v>
      </c>
      <c r="Y81" s="109"/>
      <c r="Z81" s="109">
        <v>1</v>
      </c>
      <c r="AA81" s="134" t="s">
        <v>38</v>
      </c>
      <c r="AB81" s="109">
        <v>1</v>
      </c>
      <c r="AC81" s="31">
        <f t="shared" si="48"/>
        <v>3</v>
      </c>
      <c r="AD81" s="34">
        <f t="shared" si="47"/>
        <v>75.84</v>
      </c>
      <c r="AE81" s="31">
        <f t="shared" si="36"/>
        <v>0</v>
      </c>
      <c r="AF81" s="31">
        <f t="shared" si="30"/>
        <v>0</v>
      </c>
      <c r="AG81" s="31">
        <v>33.18</v>
      </c>
      <c r="AH81" s="31">
        <f t="shared" si="46"/>
        <v>1</v>
      </c>
      <c r="AI81" s="31">
        <f t="shared" si="49"/>
        <v>33.18</v>
      </c>
      <c r="AJ81" s="79">
        <f t="shared" si="52"/>
        <v>0</v>
      </c>
      <c r="AK81" s="34">
        <f t="shared" si="50"/>
        <v>0</v>
      </c>
      <c r="AL81" s="107"/>
      <c r="AM81" s="34">
        <f t="shared" si="45"/>
        <v>0</v>
      </c>
      <c r="AN81" s="79">
        <v>0</v>
      </c>
      <c r="AO81" s="34">
        <f t="shared" si="51"/>
        <v>0</v>
      </c>
      <c r="AP81" s="107"/>
      <c r="AQ81" s="107"/>
      <c r="AR81" s="156"/>
      <c r="AS81" s="156"/>
      <c r="AT81" s="34">
        <f t="shared" si="37"/>
        <v>109.02000000000001</v>
      </c>
      <c r="AU81" s="34">
        <f t="shared" si="38"/>
        <v>10.629450000000002</v>
      </c>
      <c r="AV81" s="34">
        <f t="shared" si="39"/>
        <v>1.3627500000000001</v>
      </c>
      <c r="AW81" s="156"/>
      <c r="AX81" s="156"/>
      <c r="AY81" s="34">
        <v>2.5</v>
      </c>
      <c r="AZ81" s="156"/>
      <c r="BA81" s="34">
        <f t="shared" si="40"/>
        <v>14.492200000000002</v>
      </c>
      <c r="BB81" s="34">
        <f t="shared" si="41"/>
        <v>94.527800000000013</v>
      </c>
      <c r="BC81" s="107"/>
      <c r="BD81" s="34">
        <f t="shared" si="42"/>
        <v>11.579655500000001</v>
      </c>
      <c r="BE81" s="34">
        <f t="shared" si="43"/>
        <v>1.4179170000000001</v>
      </c>
      <c r="BF81" s="165">
        <f t="shared" si="44"/>
        <v>1.9850838000000004</v>
      </c>
    </row>
    <row r="82" spans="1:154" x14ac:dyDescent="0.3">
      <c r="A82" s="27">
        <v>74</v>
      </c>
      <c r="B82" s="36" t="s">
        <v>44</v>
      </c>
      <c r="C82" s="118" t="s">
        <v>45</v>
      </c>
      <c r="D82" s="107">
        <v>118987833</v>
      </c>
      <c r="E82" s="107" t="s">
        <v>319</v>
      </c>
      <c r="F82" s="107" t="s">
        <v>320</v>
      </c>
      <c r="G82" s="163" t="s">
        <v>300</v>
      </c>
      <c r="H82" s="10" t="s">
        <v>148</v>
      </c>
      <c r="I82" s="10" t="s">
        <v>88</v>
      </c>
      <c r="J82" s="30" t="s">
        <v>47</v>
      </c>
      <c r="K82" s="56">
        <v>46362</v>
      </c>
      <c r="L82" s="42">
        <v>657.28</v>
      </c>
      <c r="M82" s="42">
        <v>25.28</v>
      </c>
      <c r="N82" s="109"/>
      <c r="O82" s="109"/>
      <c r="P82" s="109"/>
      <c r="Q82" s="109"/>
      <c r="R82" s="109"/>
      <c r="S82" s="109"/>
      <c r="T82" s="134"/>
      <c r="U82" s="109"/>
      <c r="V82" s="109"/>
      <c r="W82" s="109"/>
      <c r="X82" s="109">
        <v>1</v>
      </c>
      <c r="Y82" s="109"/>
      <c r="Z82" s="109"/>
      <c r="AA82" s="134"/>
      <c r="AB82" s="109">
        <v>1</v>
      </c>
      <c r="AC82" s="31">
        <f t="shared" si="48"/>
        <v>2</v>
      </c>
      <c r="AD82" s="34">
        <f t="shared" si="47"/>
        <v>50.56</v>
      </c>
      <c r="AE82" s="31">
        <f t="shared" si="36"/>
        <v>0</v>
      </c>
      <c r="AF82" s="31">
        <f t="shared" si="30"/>
        <v>0</v>
      </c>
      <c r="AG82" s="31">
        <v>33.18</v>
      </c>
      <c r="AH82" s="31">
        <f t="shared" si="46"/>
        <v>0</v>
      </c>
      <c r="AI82" s="31">
        <f t="shared" si="49"/>
        <v>0</v>
      </c>
      <c r="AJ82" s="79">
        <f t="shared" si="52"/>
        <v>0</v>
      </c>
      <c r="AK82" s="34">
        <f t="shared" si="50"/>
        <v>0</v>
      </c>
      <c r="AL82" s="107"/>
      <c r="AM82" s="34">
        <f t="shared" si="45"/>
        <v>0</v>
      </c>
      <c r="AN82" s="79">
        <v>0</v>
      </c>
      <c r="AO82" s="34">
        <f t="shared" si="51"/>
        <v>0</v>
      </c>
      <c r="AP82" s="107"/>
      <c r="AQ82" s="107"/>
      <c r="AR82" s="156"/>
      <c r="AS82" s="156"/>
      <c r="AT82" s="34">
        <f t="shared" si="37"/>
        <v>50.56</v>
      </c>
      <c r="AU82" s="34">
        <f t="shared" si="38"/>
        <v>4.9296000000000006</v>
      </c>
      <c r="AV82" s="34">
        <f t="shared" si="39"/>
        <v>0.63200000000000012</v>
      </c>
      <c r="AW82" s="156"/>
      <c r="AX82" s="156"/>
      <c r="AY82" s="34">
        <v>2.5</v>
      </c>
      <c r="AZ82" s="156"/>
      <c r="BA82" s="34">
        <f t="shared" si="40"/>
        <v>8.0616000000000003</v>
      </c>
      <c r="BB82" s="34">
        <f t="shared" si="41"/>
        <v>42.498400000000004</v>
      </c>
      <c r="BC82" s="107"/>
      <c r="BD82" s="34">
        <f t="shared" si="42"/>
        <v>5.206054</v>
      </c>
      <c r="BE82" s="34">
        <f t="shared" si="43"/>
        <v>0.63747600000000004</v>
      </c>
      <c r="BF82" s="165">
        <f t="shared" si="44"/>
        <v>0.8924664000000001</v>
      </c>
    </row>
    <row r="83" spans="1:154" x14ac:dyDescent="0.3">
      <c r="A83" s="27">
        <v>75</v>
      </c>
      <c r="B83" s="36" t="s">
        <v>44</v>
      </c>
      <c r="C83" s="118" t="s">
        <v>45</v>
      </c>
      <c r="D83" s="107">
        <v>118987932</v>
      </c>
      <c r="E83" s="107" t="s">
        <v>321</v>
      </c>
      <c r="F83" s="107" t="s">
        <v>322</v>
      </c>
      <c r="G83" s="163" t="s">
        <v>301</v>
      </c>
      <c r="H83" s="10" t="s">
        <v>148</v>
      </c>
      <c r="I83" s="10" t="s">
        <v>88</v>
      </c>
      <c r="J83" s="30" t="s">
        <v>47</v>
      </c>
      <c r="K83" s="56">
        <v>46362</v>
      </c>
      <c r="L83" s="42">
        <v>657.28</v>
      </c>
      <c r="M83" s="42">
        <v>25.28</v>
      </c>
      <c r="N83" s="109"/>
      <c r="O83" s="109"/>
      <c r="P83" s="109"/>
      <c r="Q83" s="109"/>
      <c r="R83" s="109"/>
      <c r="S83" s="109"/>
      <c r="T83" s="134"/>
      <c r="U83" s="109"/>
      <c r="V83" s="109"/>
      <c r="W83" s="109"/>
      <c r="X83" s="109">
        <v>1</v>
      </c>
      <c r="Y83" s="109"/>
      <c r="Z83" s="109"/>
      <c r="AA83" s="134"/>
      <c r="AB83" s="109"/>
      <c r="AC83" s="31">
        <f t="shared" si="48"/>
        <v>1</v>
      </c>
      <c r="AD83" s="34">
        <f t="shared" si="47"/>
        <v>25.28</v>
      </c>
      <c r="AE83" s="31">
        <f t="shared" si="36"/>
        <v>0</v>
      </c>
      <c r="AF83" s="31">
        <f t="shared" si="30"/>
        <v>0</v>
      </c>
      <c r="AG83" s="31">
        <v>33.18</v>
      </c>
      <c r="AH83" s="31">
        <f t="shared" si="46"/>
        <v>0</v>
      </c>
      <c r="AI83" s="31">
        <f t="shared" si="49"/>
        <v>0</v>
      </c>
      <c r="AJ83" s="79">
        <f t="shared" si="52"/>
        <v>0</v>
      </c>
      <c r="AK83" s="34">
        <f t="shared" si="50"/>
        <v>0</v>
      </c>
      <c r="AL83" s="107"/>
      <c r="AM83" s="34">
        <f t="shared" si="45"/>
        <v>0</v>
      </c>
      <c r="AN83" s="79">
        <v>0</v>
      </c>
      <c r="AO83" s="34">
        <f t="shared" si="51"/>
        <v>0</v>
      </c>
      <c r="AP83" s="107"/>
      <c r="AQ83" s="107"/>
      <c r="AR83" s="156"/>
      <c r="AS83" s="156"/>
      <c r="AT83" s="34">
        <f t="shared" si="37"/>
        <v>25.28</v>
      </c>
      <c r="AU83" s="34">
        <f t="shared" si="38"/>
        <v>2.4648000000000003</v>
      </c>
      <c r="AV83" s="34">
        <f t="shared" si="39"/>
        <v>0.31600000000000006</v>
      </c>
      <c r="AW83" s="156"/>
      <c r="AX83" s="156"/>
      <c r="AY83" s="34">
        <v>2.5</v>
      </c>
      <c r="AZ83" s="156"/>
      <c r="BA83" s="34">
        <f t="shared" si="40"/>
        <v>5.2808000000000002</v>
      </c>
      <c r="BB83" s="34">
        <f t="shared" si="41"/>
        <v>19.999200000000002</v>
      </c>
      <c r="BC83" s="107"/>
      <c r="BD83" s="34">
        <f t="shared" si="42"/>
        <v>2.4499020000000002</v>
      </c>
      <c r="BE83" s="34">
        <f t="shared" si="43"/>
        <v>0.29998800000000003</v>
      </c>
      <c r="BF83" s="165">
        <f t="shared" si="44"/>
        <v>0.41998320000000006</v>
      </c>
    </row>
    <row r="84" spans="1:154" s="112" customFormat="1" x14ac:dyDescent="0.3">
      <c r="A84" s="27">
        <v>76</v>
      </c>
      <c r="B84" s="36" t="s">
        <v>44</v>
      </c>
      <c r="C84" s="118" t="s">
        <v>45</v>
      </c>
      <c r="D84" s="30">
        <v>117043000</v>
      </c>
      <c r="E84" s="107" t="s">
        <v>323</v>
      </c>
      <c r="F84" s="53" t="s">
        <v>324</v>
      </c>
      <c r="G84" s="94" t="s">
        <v>302</v>
      </c>
      <c r="H84" s="10" t="s">
        <v>148</v>
      </c>
      <c r="I84" s="10" t="s">
        <v>88</v>
      </c>
      <c r="J84" s="30" t="s">
        <v>47</v>
      </c>
      <c r="K84" s="56">
        <v>46362</v>
      </c>
      <c r="L84" s="42">
        <v>657.28</v>
      </c>
      <c r="M84" s="42">
        <v>25.28</v>
      </c>
      <c r="N84" s="57"/>
      <c r="O84" s="154"/>
      <c r="P84" s="58"/>
      <c r="Q84" s="57"/>
      <c r="R84" s="58"/>
      <c r="S84" s="57"/>
      <c r="T84" s="128"/>
      <c r="U84" s="57"/>
      <c r="V84" s="57"/>
      <c r="W84" s="57"/>
      <c r="X84" s="57">
        <v>1</v>
      </c>
      <c r="Y84" s="57"/>
      <c r="Z84" s="58"/>
      <c r="AA84" s="128"/>
      <c r="AB84" s="58"/>
      <c r="AC84" s="31">
        <f t="shared" si="48"/>
        <v>1</v>
      </c>
      <c r="AD84" s="34">
        <f t="shared" si="47"/>
        <v>25.28</v>
      </c>
      <c r="AE84" s="31">
        <f t="shared" si="36"/>
        <v>0</v>
      </c>
      <c r="AF84" s="31">
        <f t="shared" ref="AF84" si="53">AE84*M84</f>
        <v>0</v>
      </c>
      <c r="AG84" s="31">
        <v>33.18</v>
      </c>
      <c r="AH84" s="31">
        <f t="shared" si="46"/>
        <v>0</v>
      </c>
      <c r="AI84" s="31">
        <f t="shared" si="49"/>
        <v>0</v>
      </c>
      <c r="AJ84" s="79">
        <f t="shared" si="52"/>
        <v>0</v>
      </c>
      <c r="AK84" s="34">
        <f t="shared" si="50"/>
        <v>0</v>
      </c>
      <c r="AL84" s="138"/>
      <c r="AM84" s="34">
        <f t="shared" si="45"/>
        <v>0</v>
      </c>
      <c r="AN84" s="79">
        <v>0</v>
      </c>
      <c r="AO84" s="34">
        <f t="shared" si="51"/>
        <v>0</v>
      </c>
      <c r="AP84" s="122"/>
      <c r="AQ84" s="122"/>
      <c r="AR84" s="44"/>
      <c r="AS84" s="44"/>
      <c r="AT84" s="34">
        <f t="shared" si="37"/>
        <v>25.28</v>
      </c>
      <c r="AU84" s="34">
        <f t="shared" si="38"/>
        <v>2.4648000000000003</v>
      </c>
      <c r="AV84" s="34">
        <f t="shared" si="39"/>
        <v>0.31600000000000006</v>
      </c>
      <c r="AW84" s="122"/>
      <c r="AX84" s="122"/>
      <c r="AY84" s="34">
        <v>2.5</v>
      </c>
      <c r="AZ84" s="122"/>
      <c r="BA84" s="34">
        <f t="shared" si="40"/>
        <v>5.2808000000000002</v>
      </c>
      <c r="BB84" s="34">
        <f t="shared" si="41"/>
        <v>19.999200000000002</v>
      </c>
      <c r="BC84" s="139"/>
      <c r="BD84" s="34">
        <f t="shared" si="42"/>
        <v>2.4499020000000002</v>
      </c>
      <c r="BE84" s="34">
        <f t="shared" si="43"/>
        <v>0.29998800000000003</v>
      </c>
      <c r="BF84" s="165">
        <f t="shared" si="44"/>
        <v>0.41998320000000006</v>
      </c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82"/>
      <c r="DP84" s="82"/>
      <c r="DQ84" s="82"/>
      <c r="DR84" s="82"/>
      <c r="DS84" s="82"/>
      <c r="DT84" s="82"/>
      <c r="DU84" s="82"/>
      <c r="DV84" s="82"/>
      <c r="DW84" s="82"/>
      <c r="DX84" s="82"/>
      <c r="DY84" s="82"/>
      <c r="DZ84" s="82"/>
      <c r="EA84" s="82"/>
      <c r="EB84" s="82"/>
      <c r="EC84" s="82"/>
      <c r="ED84" s="82"/>
      <c r="EE84" s="82"/>
      <c r="EF84" s="82"/>
      <c r="EG84" s="82"/>
      <c r="EH84" s="82"/>
      <c r="EI84" s="82"/>
      <c r="EJ84" s="82"/>
      <c r="EK84" s="82"/>
      <c r="EL84" s="82"/>
      <c r="EM84" s="82"/>
      <c r="EN84" s="82"/>
      <c r="EO84" s="82"/>
      <c r="EP84" s="82"/>
      <c r="EQ84" s="82"/>
      <c r="ER84" s="82"/>
      <c r="ES84" s="82"/>
      <c r="ET84" s="82"/>
      <c r="EU84" s="82"/>
      <c r="EV84" s="82"/>
      <c r="EW84" s="82"/>
      <c r="EX84" s="82"/>
    </row>
  </sheetData>
  <sortState xmlns:xlrd2="http://schemas.microsoft.com/office/spreadsheetml/2017/richdata2" ref="C9:G32">
    <sortCondition ref="C9:C32"/>
  </sortState>
  <mergeCells count="1">
    <mergeCell ref="N5:AB6"/>
  </mergeCells>
  <phoneticPr fontId="3" type="noConversion"/>
  <conditionalFormatting sqref="C75">
    <cfRule type="duplicateValues" dxfId="148" priority="4"/>
  </conditionalFormatting>
  <conditionalFormatting sqref="D9:D12 D25:D27 D20 D18 D15">
    <cfRule type="duplicateValues" dxfId="147" priority="7432"/>
    <cfRule type="duplicateValues" dxfId="146" priority="7433"/>
    <cfRule type="duplicateValues" dxfId="145" priority="7434"/>
  </conditionalFormatting>
  <conditionalFormatting sqref="D13">
    <cfRule type="duplicateValues" dxfId="144" priority="13"/>
  </conditionalFormatting>
  <conditionalFormatting sqref="D22">
    <cfRule type="duplicateValues" dxfId="143" priority="70"/>
    <cfRule type="duplicateValues" dxfId="142" priority="69"/>
    <cfRule type="duplicateValues" dxfId="141" priority="72"/>
  </conditionalFormatting>
  <conditionalFormatting sqref="D23">
    <cfRule type="duplicateValues" dxfId="140" priority="9"/>
    <cfRule type="duplicateValues" dxfId="139" priority="10"/>
  </conditionalFormatting>
  <conditionalFormatting sqref="D29">
    <cfRule type="duplicateValues" dxfId="138" priority="6"/>
    <cfRule type="duplicateValues" dxfId="137" priority="5"/>
    <cfRule type="duplicateValues" dxfId="136" priority="7"/>
  </conditionalFormatting>
  <conditionalFormatting sqref="D33">
    <cfRule type="duplicateValues" dxfId="135" priority="7201"/>
    <cfRule type="duplicateValues" dxfId="134" priority="7199"/>
    <cfRule type="duplicateValues" dxfId="133" priority="7200"/>
  </conditionalFormatting>
  <conditionalFormatting sqref="D40 F40">
    <cfRule type="duplicateValues" dxfId="132" priority="7579"/>
  </conditionalFormatting>
  <conditionalFormatting sqref="D40">
    <cfRule type="duplicateValues" dxfId="131" priority="7581"/>
    <cfRule type="duplicateValues" dxfId="130" priority="7582"/>
    <cfRule type="duplicateValues" dxfId="129" priority="7583"/>
  </conditionalFormatting>
  <conditionalFormatting sqref="D41">
    <cfRule type="duplicateValues" dxfId="128" priority="82"/>
    <cfRule type="duplicateValues" dxfId="127" priority="80"/>
    <cfRule type="duplicateValues" dxfId="126" priority="83"/>
  </conditionalFormatting>
  <conditionalFormatting sqref="D42">
    <cfRule type="duplicateValues" dxfId="125" priority="31"/>
  </conditionalFormatting>
  <conditionalFormatting sqref="D43">
    <cfRule type="duplicateValues" dxfId="124" priority="7584"/>
  </conditionalFormatting>
  <conditionalFormatting sqref="D49:D50">
    <cfRule type="duplicateValues" dxfId="123" priority="6949"/>
    <cfRule type="duplicateValues" dxfId="122" priority="6948"/>
  </conditionalFormatting>
  <conditionalFormatting sqref="D56 F56">
    <cfRule type="duplicateValues" dxfId="121" priority="25"/>
  </conditionalFormatting>
  <conditionalFormatting sqref="D56">
    <cfRule type="duplicateValues" dxfId="120" priority="24"/>
  </conditionalFormatting>
  <conditionalFormatting sqref="D57">
    <cfRule type="duplicateValues" dxfId="119" priority="48"/>
    <cfRule type="duplicateValues" dxfId="118" priority="49"/>
  </conditionalFormatting>
  <conditionalFormatting sqref="D60">
    <cfRule type="duplicateValues" dxfId="117" priority="64"/>
    <cfRule type="duplicateValues" dxfId="116" priority="61"/>
    <cfRule type="duplicateValues" dxfId="115" priority="62"/>
  </conditionalFormatting>
  <conditionalFormatting sqref="D61">
    <cfRule type="duplicateValues" dxfId="114" priority="130"/>
    <cfRule type="duplicateValues" dxfId="113" priority="131"/>
  </conditionalFormatting>
  <conditionalFormatting sqref="D63 F63">
    <cfRule type="duplicateValues" dxfId="112" priority="59"/>
  </conditionalFormatting>
  <conditionalFormatting sqref="D63">
    <cfRule type="duplicateValues" dxfId="111" priority="56"/>
    <cfRule type="duplicateValues" dxfId="110" priority="57"/>
  </conditionalFormatting>
  <conditionalFormatting sqref="D64">
    <cfRule type="duplicateValues" dxfId="109" priority="8130"/>
  </conditionalFormatting>
  <conditionalFormatting sqref="D68">
    <cfRule type="duplicateValues" dxfId="108" priority="105"/>
  </conditionalFormatting>
  <conditionalFormatting sqref="D72">
    <cfRule type="duplicateValues" dxfId="107" priority="20"/>
    <cfRule type="duplicateValues" dxfId="106" priority="19"/>
    <cfRule type="duplicateValues" dxfId="105" priority="21"/>
  </conditionalFormatting>
  <conditionalFormatting sqref="D75">
    <cfRule type="duplicateValues" dxfId="104" priority="18"/>
    <cfRule type="duplicateValues" dxfId="103" priority="17"/>
    <cfRule type="duplicateValues" dxfId="102" priority="16"/>
  </conditionalFormatting>
  <conditionalFormatting sqref="D84">
    <cfRule type="duplicateValues" dxfId="101" priority="1"/>
    <cfRule type="duplicateValues" dxfId="100" priority="2"/>
    <cfRule type="duplicateValues" dxfId="99" priority="3"/>
  </conditionalFormatting>
  <conditionalFormatting sqref="D89:D1048576 D73:D74 D1:D8 D65:D68 D61:D62 D58:D59 D34:D37 D39 D42:D43 D76">
    <cfRule type="duplicateValues" dxfId="98" priority="7988"/>
  </conditionalFormatting>
  <conditionalFormatting sqref="D89:D1048576 D73:D74 D76">
    <cfRule type="duplicateValues" dxfId="97" priority="7984"/>
  </conditionalFormatting>
  <conditionalFormatting sqref="D89:E1048576 E75 D73:E74 D1:E7 E34:F35 F8 D61:E61 E62 D65:E68 E58:E59 E36 E38:E40 E42:E43 E56 E69:E72 D76:F76 C8:C73 C75:C84">
    <cfRule type="duplicateValues" dxfId="96" priority="7941"/>
  </conditionalFormatting>
  <conditionalFormatting sqref="E8">
    <cfRule type="duplicateValues" dxfId="95" priority="74"/>
  </conditionalFormatting>
  <conditionalFormatting sqref="E41">
    <cfRule type="duplicateValues" dxfId="94" priority="79"/>
  </conditionalFormatting>
  <conditionalFormatting sqref="E44:E47">
    <cfRule type="duplicateValues" dxfId="93" priority="7197"/>
  </conditionalFormatting>
  <conditionalFormatting sqref="E57">
    <cfRule type="duplicateValues" dxfId="92" priority="50"/>
  </conditionalFormatting>
  <conditionalFormatting sqref="E60">
    <cfRule type="duplicateValues" dxfId="91" priority="63"/>
  </conditionalFormatting>
  <conditionalFormatting sqref="E63">
    <cfRule type="duplicateValues" dxfId="90" priority="58"/>
  </conditionalFormatting>
  <conditionalFormatting sqref="E64">
    <cfRule type="duplicateValues" dxfId="89" priority="8131"/>
  </conditionalFormatting>
  <conditionalFormatting sqref="E68">
    <cfRule type="duplicateValues" dxfId="88" priority="106"/>
  </conditionalFormatting>
  <conditionalFormatting sqref="E22:F22 F23">
    <cfRule type="duplicateValues" dxfId="87" priority="71"/>
  </conditionalFormatting>
  <conditionalFormatting sqref="E33:F33">
    <cfRule type="duplicateValues" dxfId="86" priority="7237"/>
  </conditionalFormatting>
  <conditionalFormatting sqref="F10:F11 F25:F27 F20 F15">
    <cfRule type="duplicateValues" dxfId="85" priority="6886"/>
  </conditionalFormatting>
  <conditionalFormatting sqref="F39">
    <cfRule type="duplicateValues" dxfId="84" priority="42"/>
  </conditionalFormatting>
  <conditionalFormatting sqref="F41">
    <cfRule type="duplicateValues" dxfId="83" priority="81"/>
  </conditionalFormatting>
  <conditionalFormatting sqref="F44:F47">
    <cfRule type="duplicateValues" dxfId="82" priority="7198"/>
  </conditionalFormatting>
  <conditionalFormatting sqref="F50 F36:F37">
    <cfRule type="duplicateValues" dxfId="81" priority="6827"/>
  </conditionalFormatting>
  <conditionalFormatting sqref="F57 D57">
    <cfRule type="duplicateValues" dxfId="80" priority="51"/>
  </conditionalFormatting>
  <conditionalFormatting sqref="F59 F62">
    <cfRule type="duplicateValues" dxfId="79" priority="125"/>
  </conditionalFormatting>
  <conditionalFormatting sqref="F60">
    <cfRule type="duplicateValues" dxfId="78" priority="60"/>
  </conditionalFormatting>
  <conditionalFormatting sqref="F64 D64">
    <cfRule type="duplicateValues" dxfId="77" priority="8132"/>
  </conditionalFormatting>
  <conditionalFormatting sqref="F66">
    <cfRule type="duplicateValues" dxfId="76" priority="7686"/>
  </conditionalFormatting>
  <conditionalFormatting sqref="F68">
    <cfRule type="duplicateValues" dxfId="75" priority="107"/>
  </conditionalFormatting>
  <conditionalFormatting sqref="F84 F70:F72">
    <cfRule type="duplicateValues" dxfId="74" priority="7755"/>
  </conditionalFormatting>
  <conditionalFormatting sqref="F89:F1048576 F68:F69 F61 G2:G4 F5:F7 F1 D8 D62 F64:F65 D58:D59 F58 D34:D37 D39 F38 F42:F43 D42:D43 F73:F75 F77">
    <cfRule type="duplicateValues" dxfId="73" priority="8010"/>
  </conditionalFormatting>
  <conditionalFormatting sqref="G34:G36">
    <cfRule type="duplicateValues" dxfId="72" priority="7930"/>
  </conditionalFormatting>
  <conditionalFormatting sqref="G39">
    <cfRule type="duplicateValues" dxfId="71" priority="41"/>
  </conditionalFormatting>
  <conditionalFormatting sqref="G41">
    <cfRule type="duplicateValues" dxfId="70" priority="139"/>
  </conditionalFormatting>
  <conditionalFormatting sqref="G89:G1048576 G73:G76 H2:I4 G1 G5:G7">
    <cfRule type="duplicateValues" dxfId="69" priority="8129"/>
  </conditionalFormatting>
  <conditionalFormatting sqref="H2:I4">
    <cfRule type="duplicateValues" dxfId="68" priority="122"/>
    <cfRule type="duplicateValues" dxfId="67" priority="123"/>
  </conditionalFormatting>
  <pageMargins left="0.7" right="0.7" top="0.75" bottom="0.75" header="0.3" footer="0.3"/>
  <pageSetup paperSize="5" scale="57" fitToWidth="0" orientation="portrait" r:id="rId1"/>
  <ignoredErrors>
    <ignoredError sqref="E27" twoDigitTextYea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5200-EA3A-42E1-A2D6-163F3586281E}">
  <dimension ref="B5:E90"/>
  <sheetViews>
    <sheetView topLeftCell="A77" workbookViewId="0">
      <selection activeCell="C88" sqref="C88"/>
    </sheetView>
  </sheetViews>
  <sheetFormatPr baseColWidth="10" defaultRowHeight="14.4" x14ac:dyDescent="0.3"/>
  <cols>
    <col min="2" max="2" width="15.44140625" customWidth="1"/>
    <col min="3" max="3" width="17.33203125" customWidth="1"/>
    <col min="4" max="4" width="24.6640625" bestFit="1" customWidth="1"/>
    <col min="6" max="6" width="11.5546875" customWidth="1"/>
  </cols>
  <sheetData>
    <row r="5" spans="2:5" ht="15.6" x14ac:dyDescent="0.3">
      <c r="B5" s="113" t="s">
        <v>45</v>
      </c>
      <c r="C5" s="43">
        <v>118825058</v>
      </c>
      <c r="D5" s="32" t="s">
        <v>178</v>
      </c>
      <c r="E5" s="34">
        <v>281.55</v>
      </c>
    </row>
    <row r="6" spans="2:5" ht="15.6" x14ac:dyDescent="0.3">
      <c r="B6" s="113" t="s">
        <v>45</v>
      </c>
      <c r="C6" s="30">
        <v>118956929</v>
      </c>
      <c r="D6" s="32" t="s">
        <v>276</v>
      </c>
      <c r="E6" s="34">
        <v>214.05</v>
      </c>
    </row>
    <row r="7" spans="2:5" ht="15.6" x14ac:dyDescent="0.3">
      <c r="B7" s="113" t="s">
        <v>45</v>
      </c>
      <c r="C7" s="30">
        <v>118150598</v>
      </c>
      <c r="D7" s="32" t="s">
        <v>144</v>
      </c>
      <c r="E7" s="34">
        <v>42.5</v>
      </c>
    </row>
    <row r="8" spans="2:5" ht="15.6" x14ac:dyDescent="0.3">
      <c r="B8" s="113" t="s">
        <v>45</v>
      </c>
      <c r="C8" s="30">
        <v>118778604</v>
      </c>
      <c r="D8" s="32" t="s">
        <v>179</v>
      </c>
      <c r="E8" s="34">
        <v>281.55</v>
      </c>
    </row>
    <row r="9" spans="2:5" ht="15.6" x14ac:dyDescent="0.3">
      <c r="B9" s="113" t="s">
        <v>45</v>
      </c>
      <c r="C9" s="52">
        <v>118978758</v>
      </c>
      <c r="D9" s="50" t="s">
        <v>224</v>
      </c>
      <c r="E9" s="34">
        <v>169.05</v>
      </c>
    </row>
    <row r="10" spans="2:5" ht="15.6" x14ac:dyDescent="0.3">
      <c r="B10" s="113" t="s">
        <v>45</v>
      </c>
      <c r="C10" s="49">
        <v>118940592</v>
      </c>
      <c r="D10" s="50" t="s">
        <v>228</v>
      </c>
      <c r="E10" s="34">
        <v>229.52</v>
      </c>
    </row>
    <row r="11" spans="2:5" ht="15.6" x14ac:dyDescent="0.3">
      <c r="B11" s="113" t="s">
        <v>45</v>
      </c>
      <c r="C11" s="30">
        <v>118586692</v>
      </c>
      <c r="D11" s="32" t="s">
        <v>125</v>
      </c>
      <c r="E11" s="34">
        <v>281.55</v>
      </c>
    </row>
    <row r="12" spans="2:5" ht="15.6" x14ac:dyDescent="0.3">
      <c r="B12" s="113" t="s">
        <v>45</v>
      </c>
      <c r="C12" s="49">
        <v>117765404</v>
      </c>
      <c r="D12" s="50" t="s">
        <v>206</v>
      </c>
      <c r="E12" s="34">
        <v>42.5</v>
      </c>
    </row>
    <row r="13" spans="2:5" ht="15.6" x14ac:dyDescent="0.3">
      <c r="B13" s="118" t="s">
        <v>45</v>
      </c>
      <c r="C13" s="49">
        <v>118899947</v>
      </c>
      <c r="D13" s="50" t="s">
        <v>225</v>
      </c>
      <c r="E13" s="34">
        <v>20</v>
      </c>
    </row>
    <row r="14" spans="2:5" ht="15.6" x14ac:dyDescent="0.3">
      <c r="B14" s="118" t="s">
        <v>45</v>
      </c>
      <c r="C14" s="43">
        <v>118825645</v>
      </c>
      <c r="D14" s="32" t="s">
        <v>177</v>
      </c>
      <c r="E14" s="34">
        <v>20</v>
      </c>
    </row>
    <row r="15" spans="2:5" ht="15.6" x14ac:dyDescent="0.3">
      <c r="B15" s="118" t="s">
        <v>45</v>
      </c>
      <c r="C15" s="167">
        <v>117483776</v>
      </c>
      <c r="D15" s="50" t="s">
        <v>226</v>
      </c>
      <c r="E15" s="34">
        <v>169.05</v>
      </c>
    </row>
    <row r="16" spans="2:5" ht="15.6" x14ac:dyDescent="0.3">
      <c r="B16" s="113" t="s">
        <v>45</v>
      </c>
      <c r="C16" s="30">
        <v>118579325</v>
      </c>
      <c r="D16" s="32" t="s">
        <v>89</v>
      </c>
      <c r="E16" s="34">
        <v>274.52</v>
      </c>
    </row>
    <row r="17" spans="2:5" ht="15.6" x14ac:dyDescent="0.3">
      <c r="B17" s="113" t="s">
        <v>45</v>
      </c>
      <c r="C17" s="49">
        <v>118940287</v>
      </c>
      <c r="D17" s="50" t="s">
        <v>255</v>
      </c>
      <c r="E17" s="34">
        <v>207.02</v>
      </c>
    </row>
    <row r="18" spans="2:5" ht="15.6" x14ac:dyDescent="0.3">
      <c r="B18" s="113" t="s">
        <v>45</v>
      </c>
      <c r="C18" s="30">
        <v>116875105</v>
      </c>
      <c r="D18" s="39" t="s">
        <v>176</v>
      </c>
      <c r="E18" s="34">
        <v>256.05</v>
      </c>
    </row>
    <row r="19" spans="2:5" ht="15.6" x14ac:dyDescent="0.3">
      <c r="B19" s="113" t="s">
        <v>45</v>
      </c>
      <c r="C19" s="52">
        <v>118221456</v>
      </c>
      <c r="D19" s="140" t="s">
        <v>277</v>
      </c>
      <c r="E19" s="34">
        <v>207.02</v>
      </c>
    </row>
    <row r="20" spans="2:5" ht="15.6" x14ac:dyDescent="0.3">
      <c r="B20" s="113" t="s">
        <v>45</v>
      </c>
      <c r="C20" s="49">
        <v>118691021</v>
      </c>
      <c r="D20" s="50" t="s">
        <v>223</v>
      </c>
      <c r="E20" s="34">
        <v>281.55</v>
      </c>
    </row>
    <row r="21" spans="2:5" ht="15.6" x14ac:dyDescent="0.3">
      <c r="B21" s="113" t="s">
        <v>45</v>
      </c>
      <c r="C21" s="30">
        <v>118582170</v>
      </c>
      <c r="D21" s="32" t="s">
        <v>102</v>
      </c>
      <c r="E21" s="34">
        <v>229.52</v>
      </c>
    </row>
    <row r="22" spans="2:5" ht="15.6" x14ac:dyDescent="0.3">
      <c r="B22" s="48" t="s">
        <v>45</v>
      </c>
      <c r="C22" s="30">
        <v>117972422</v>
      </c>
      <c r="D22" s="39" t="s">
        <v>143</v>
      </c>
      <c r="E22" s="34">
        <v>42.5</v>
      </c>
    </row>
    <row r="23" spans="2:5" ht="15.6" x14ac:dyDescent="0.3">
      <c r="B23" s="48" t="s">
        <v>45</v>
      </c>
      <c r="C23" s="30">
        <v>116364308</v>
      </c>
      <c r="D23" s="32" t="s">
        <v>90</v>
      </c>
      <c r="E23" s="34">
        <v>274.52</v>
      </c>
    </row>
    <row r="24" spans="2:5" ht="15.6" x14ac:dyDescent="0.3">
      <c r="B24" s="48" t="s">
        <v>45</v>
      </c>
      <c r="C24" s="167">
        <v>117259028</v>
      </c>
      <c r="D24" s="50" t="s">
        <v>227</v>
      </c>
      <c r="E24" s="34">
        <v>278.55</v>
      </c>
    </row>
    <row r="25" spans="2:5" ht="15.6" x14ac:dyDescent="0.3">
      <c r="B25" s="48" t="s">
        <v>45</v>
      </c>
      <c r="C25" s="52">
        <v>115858375</v>
      </c>
      <c r="D25" s="50" t="s">
        <v>76</v>
      </c>
      <c r="E25" s="34">
        <v>281.55</v>
      </c>
    </row>
    <row r="26" spans="2:5" ht="15.6" x14ac:dyDescent="0.3">
      <c r="B26" s="48" t="s">
        <v>45</v>
      </c>
      <c r="C26" s="107">
        <v>118942903</v>
      </c>
      <c r="D26" s="50" t="s">
        <v>278</v>
      </c>
      <c r="E26" s="34">
        <v>162.02000000000001</v>
      </c>
    </row>
    <row r="27" spans="2:5" ht="15.6" x14ac:dyDescent="0.3">
      <c r="B27" s="48" t="s">
        <v>45</v>
      </c>
      <c r="C27" s="167">
        <v>118994474</v>
      </c>
      <c r="D27" s="50" t="s">
        <v>279</v>
      </c>
      <c r="E27" s="34">
        <v>17</v>
      </c>
    </row>
    <row r="28" spans="2:5" ht="15.6" x14ac:dyDescent="0.3">
      <c r="B28" s="48" t="s">
        <v>45</v>
      </c>
      <c r="C28" s="167">
        <v>118994656</v>
      </c>
      <c r="D28" s="50" t="s">
        <v>280</v>
      </c>
      <c r="E28" s="34">
        <v>17</v>
      </c>
    </row>
    <row r="29" spans="2:5" ht="15.6" x14ac:dyDescent="0.3">
      <c r="B29" s="48" t="s">
        <v>45</v>
      </c>
      <c r="C29" s="52">
        <v>116545534</v>
      </c>
      <c r="D29" s="55" t="s">
        <v>80</v>
      </c>
      <c r="E29" s="34">
        <v>216.55</v>
      </c>
    </row>
    <row r="30" spans="2:5" ht="15.6" x14ac:dyDescent="0.3">
      <c r="B30" s="48" t="s">
        <v>45</v>
      </c>
      <c r="C30" s="52">
        <v>115151821</v>
      </c>
      <c r="D30" s="59" t="s">
        <v>50</v>
      </c>
      <c r="E30" s="34">
        <v>329.05</v>
      </c>
    </row>
    <row r="31" spans="2:5" ht="15.6" x14ac:dyDescent="0.3">
      <c r="B31" s="118" t="s">
        <v>45</v>
      </c>
      <c r="C31" s="52">
        <v>118582543</v>
      </c>
      <c r="D31" s="59" t="s">
        <v>94</v>
      </c>
      <c r="E31" s="34">
        <v>180</v>
      </c>
    </row>
    <row r="32" spans="2:5" ht="15.6" x14ac:dyDescent="0.3">
      <c r="B32" s="118" t="s">
        <v>45</v>
      </c>
      <c r="C32" s="52">
        <v>115240111</v>
      </c>
      <c r="D32" s="59" t="s">
        <v>52</v>
      </c>
      <c r="E32" s="34">
        <v>239.05</v>
      </c>
    </row>
    <row r="33" spans="2:5" ht="15.6" x14ac:dyDescent="0.3">
      <c r="B33" s="118" t="s">
        <v>45</v>
      </c>
      <c r="C33" s="52">
        <v>116551672</v>
      </c>
      <c r="D33" s="55" t="s">
        <v>146</v>
      </c>
      <c r="E33" s="34">
        <v>209.52</v>
      </c>
    </row>
    <row r="34" spans="2:5" ht="15.6" x14ac:dyDescent="0.3">
      <c r="B34" s="118" t="s">
        <v>45</v>
      </c>
      <c r="C34" s="53">
        <v>118582568</v>
      </c>
      <c r="D34" s="55" t="s">
        <v>93</v>
      </c>
      <c r="E34" s="34">
        <v>209.52</v>
      </c>
    </row>
    <row r="35" spans="2:5" ht="15.6" x14ac:dyDescent="0.3">
      <c r="B35" s="118" t="s">
        <v>45</v>
      </c>
      <c r="C35" s="119">
        <v>115058513</v>
      </c>
      <c r="D35" s="59" t="s">
        <v>54</v>
      </c>
      <c r="E35" s="34">
        <v>254.52</v>
      </c>
    </row>
    <row r="36" spans="2:5" ht="15.6" x14ac:dyDescent="0.3">
      <c r="B36" s="118" t="s">
        <v>45</v>
      </c>
      <c r="C36" s="53">
        <v>118582535</v>
      </c>
      <c r="D36" s="55" t="s">
        <v>95</v>
      </c>
      <c r="E36" s="34">
        <v>216.55</v>
      </c>
    </row>
    <row r="37" spans="2:5" ht="15.6" x14ac:dyDescent="0.3">
      <c r="B37" s="118" t="s">
        <v>45</v>
      </c>
      <c r="C37" s="52">
        <v>116142985</v>
      </c>
      <c r="D37" s="35" t="s">
        <v>207</v>
      </c>
      <c r="E37" s="34">
        <v>246.08</v>
      </c>
    </row>
    <row r="38" spans="2:5" ht="15.6" x14ac:dyDescent="0.3">
      <c r="B38" s="118" t="s">
        <v>45</v>
      </c>
      <c r="C38" s="10">
        <v>118582550</v>
      </c>
      <c r="D38" s="55" t="s">
        <v>91</v>
      </c>
      <c r="E38" s="34">
        <v>171.55</v>
      </c>
    </row>
    <row r="39" spans="2:5" ht="15.6" x14ac:dyDescent="0.3">
      <c r="B39" s="118" t="s">
        <v>45</v>
      </c>
      <c r="C39" s="30">
        <v>114280621</v>
      </c>
      <c r="D39" s="55" t="s">
        <v>208</v>
      </c>
      <c r="E39" s="34">
        <v>187.02</v>
      </c>
    </row>
    <row r="40" spans="2:5" ht="15.6" x14ac:dyDescent="0.3">
      <c r="B40" s="118" t="s">
        <v>45</v>
      </c>
      <c r="C40" s="168">
        <v>117474262</v>
      </c>
      <c r="D40" s="54" t="s">
        <v>209</v>
      </c>
      <c r="E40" s="34">
        <v>216.55</v>
      </c>
    </row>
    <row r="41" spans="2:5" ht="15.6" x14ac:dyDescent="0.3">
      <c r="B41" s="118" t="s">
        <v>45</v>
      </c>
      <c r="C41" s="168">
        <v>116367830</v>
      </c>
      <c r="D41" s="54" t="s">
        <v>92</v>
      </c>
      <c r="E41" s="34">
        <v>164.52</v>
      </c>
    </row>
    <row r="42" spans="2:5" ht="15.6" x14ac:dyDescent="0.3">
      <c r="B42" s="118" t="s">
        <v>45</v>
      </c>
      <c r="C42" s="168">
        <v>114816481</v>
      </c>
      <c r="D42" s="54" t="s">
        <v>56</v>
      </c>
      <c r="E42" s="34">
        <v>216.55</v>
      </c>
    </row>
    <row r="43" spans="2:5" ht="15.6" x14ac:dyDescent="0.3">
      <c r="B43" s="118" t="s">
        <v>45</v>
      </c>
      <c r="C43" s="115">
        <v>118582576</v>
      </c>
      <c r="D43" s="54" t="s">
        <v>210</v>
      </c>
      <c r="E43" s="34">
        <v>187.02</v>
      </c>
    </row>
    <row r="44" spans="2:5" ht="15.6" x14ac:dyDescent="0.3">
      <c r="B44" s="118" t="s">
        <v>45</v>
      </c>
      <c r="C44" s="169">
        <v>115730137</v>
      </c>
      <c r="D44" s="54" t="s">
        <v>293</v>
      </c>
      <c r="E44" s="34">
        <v>52.02</v>
      </c>
    </row>
    <row r="45" spans="2:5" ht="15.6" x14ac:dyDescent="0.3">
      <c r="B45" s="118" t="s">
        <v>45</v>
      </c>
      <c r="C45" s="84">
        <v>117289884</v>
      </c>
      <c r="D45" s="55" t="s">
        <v>180</v>
      </c>
      <c r="E45" s="34">
        <v>239.05</v>
      </c>
    </row>
    <row r="46" spans="2:5" ht="15.6" x14ac:dyDescent="0.3">
      <c r="B46" s="118" t="s">
        <v>45</v>
      </c>
      <c r="C46" s="30">
        <v>117330324</v>
      </c>
      <c r="D46" s="86" t="s">
        <v>192</v>
      </c>
      <c r="E46" s="34">
        <v>209.52</v>
      </c>
    </row>
    <row r="47" spans="2:5" ht="15.6" x14ac:dyDescent="0.3">
      <c r="B47" s="118" t="s">
        <v>45</v>
      </c>
      <c r="C47" s="114">
        <v>116531690</v>
      </c>
      <c r="D47" s="86" t="s">
        <v>193</v>
      </c>
      <c r="E47" s="34">
        <v>254.52</v>
      </c>
    </row>
    <row r="48" spans="2:5" ht="15.6" x14ac:dyDescent="0.3">
      <c r="B48" s="118" t="s">
        <v>45</v>
      </c>
      <c r="C48" s="114">
        <v>116622267</v>
      </c>
      <c r="D48" s="88" t="s">
        <v>211</v>
      </c>
      <c r="E48" s="34">
        <v>187.02</v>
      </c>
    </row>
    <row r="49" spans="2:5" ht="15.6" x14ac:dyDescent="0.3">
      <c r="B49" s="120" t="s">
        <v>45</v>
      </c>
      <c r="C49" s="115">
        <v>116749177</v>
      </c>
      <c r="D49" s="90" t="s">
        <v>212</v>
      </c>
      <c r="E49" s="34">
        <v>216.55</v>
      </c>
    </row>
    <row r="50" spans="2:5" ht="15.6" x14ac:dyDescent="0.3">
      <c r="B50" s="120" t="s">
        <v>45</v>
      </c>
      <c r="C50" s="167">
        <v>116745472</v>
      </c>
      <c r="D50" s="88" t="s">
        <v>230</v>
      </c>
      <c r="E50" s="34">
        <v>209.52</v>
      </c>
    </row>
    <row r="51" spans="2:5" ht="15.6" x14ac:dyDescent="0.3">
      <c r="B51" s="118" t="s">
        <v>45</v>
      </c>
      <c r="C51" s="172">
        <v>118219336</v>
      </c>
      <c r="D51" s="155" t="s">
        <v>294</v>
      </c>
      <c r="E51" s="34">
        <v>134.99</v>
      </c>
    </row>
    <row r="52" spans="2:5" ht="15.6" x14ac:dyDescent="0.3">
      <c r="B52" s="120" t="s">
        <v>45</v>
      </c>
      <c r="C52" s="116">
        <v>118555093</v>
      </c>
      <c r="D52" s="98" t="s">
        <v>96</v>
      </c>
      <c r="E52" s="34">
        <v>90</v>
      </c>
    </row>
    <row r="53" spans="2:5" ht="15.6" x14ac:dyDescent="0.3">
      <c r="B53" s="113" t="s">
        <v>45</v>
      </c>
      <c r="C53" s="30">
        <v>118268473</v>
      </c>
      <c r="D53" s="55" t="s">
        <v>149</v>
      </c>
      <c r="E53" s="34">
        <v>261.55</v>
      </c>
    </row>
    <row r="54" spans="2:5" ht="15.6" x14ac:dyDescent="0.3">
      <c r="B54" s="113" t="s">
        <v>45</v>
      </c>
      <c r="C54" s="30">
        <v>117851477</v>
      </c>
      <c r="D54" s="59" t="s">
        <v>67</v>
      </c>
      <c r="E54" s="34">
        <v>254.52</v>
      </c>
    </row>
    <row r="55" spans="2:5" ht="15.6" x14ac:dyDescent="0.3">
      <c r="B55" s="118" t="s">
        <v>45</v>
      </c>
      <c r="C55" s="30">
        <v>118555218</v>
      </c>
      <c r="D55" s="59" t="s">
        <v>213</v>
      </c>
      <c r="E55" s="34">
        <v>261.55</v>
      </c>
    </row>
    <row r="56" spans="2:5" ht="15.6" x14ac:dyDescent="0.3">
      <c r="B56" s="118" t="s">
        <v>45</v>
      </c>
      <c r="C56" s="30">
        <v>117043000</v>
      </c>
      <c r="D56" s="160" t="s">
        <v>138</v>
      </c>
      <c r="E56" s="34">
        <v>306.55</v>
      </c>
    </row>
    <row r="57" spans="2:5" ht="15.6" x14ac:dyDescent="0.3">
      <c r="B57" s="118" t="s">
        <v>45</v>
      </c>
      <c r="C57" s="30">
        <v>118632330</v>
      </c>
      <c r="D57" s="55" t="s">
        <v>127</v>
      </c>
      <c r="E57" s="34">
        <v>216.55</v>
      </c>
    </row>
    <row r="58" spans="2:5" ht="15.6" x14ac:dyDescent="0.3">
      <c r="B58" s="118" t="s">
        <v>45</v>
      </c>
      <c r="C58" s="30">
        <v>117850081</v>
      </c>
      <c r="D58" s="55" t="s">
        <v>119</v>
      </c>
      <c r="E58" s="34">
        <v>261.55</v>
      </c>
    </row>
    <row r="59" spans="2:5" ht="15.6" x14ac:dyDescent="0.3">
      <c r="B59" s="118" t="s">
        <v>45</v>
      </c>
      <c r="C59" s="40">
        <v>117761825</v>
      </c>
      <c r="D59" s="161" t="s">
        <v>214</v>
      </c>
      <c r="E59" s="34">
        <v>261.55</v>
      </c>
    </row>
    <row r="60" spans="2:5" ht="15.6" x14ac:dyDescent="0.3">
      <c r="B60" s="118" t="s">
        <v>45</v>
      </c>
      <c r="C60" s="10">
        <v>118012608</v>
      </c>
      <c r="D60" s="55" t="s">
        <v>215</v>
      </c>
      <c r="E60" s="34">
        <v>284.05</v>
      </c>
    </row>
    <row r="61" spans="2:5" ht="15.6" x14ac:dyDescent="0.3">
      <c r="B61" s="118" t="s">
        <v>45</v>
      </c>
      <c r="C61" s="10">
        <v>118634377</v>
      </c>
      <c r="D61" s="86" t="s">
        <v>128</v>
      </c>
      <c r="E61" s="34">
        <v>246.08</v>
      </c>
    </row>
    <row r="62" spans="2:5" ht="15.6" x14ac:dyDescent="0.3">
      <c r="B62" s="118" t="s">
        <v>45</v>
      </c>
      <c r="C62" s="30">
        <v>116757311</v>
      </c>
      <c r="D62" s="55" t="s">
        <v>71</v>
      </c>
      <c r="E62" s="34">
        <v>284.05</v>
      </c>
    </row>
    <row r="63" spans="2:5" ht="15.6" x14ac:dyDescent="0.3">
      <c r="B63" s="118" t="s">
        <v>45</v>
      </c>
      <c r="C63" s="10">
        <v>118555390</v>
      </c>
      <c r="D63" s="55" t="s">
        <v>97</v>
      </c>
      <c r="E63" s="34">
        <v>187.02</v>
      </c>
    </row>
    <row r="64" spans="2:5" ht="15.6" x14ac:dyDescent="0.3">
      <c r="B64" s="118" t="s">
        <v>45</v>
      </c>
      <c r="C64" s="10">
        <v>118511047</v>
      </c>
      <c r="D64" s="55" t="s">
        <v>81</v>
      </c>
      <c r="E64" s="34">
        <v>239.05</v>
      </c>
    </row>
    <row r="65" spans="2:5" ht="15.6" x14ac:dyDescent="0.3">
      <c r="B65" s="118" t="s">
        <v>45</v>
      </c>
      <c r="C65" s="10">
        <v>118634765</v>
      </c>
      <c r="D65" s="55" t="s">
        <v>126</v>
      </c>
      <c r="E65" s="34">
        <v>239.05</v>
      </c>
    </row>
    <row r="66" spans="2:5" ht="15.6" x14ac:dyDescent="0.3">
      <c r="B66" s="118" t="s">
        <v>45</v>
      </c>
      <c r="C66" s="104">
        <v>116745142</v>
      </c>
      <c r="D66" s="162" t="s">
        <v>72</v>
      </c>
      <c r="E66" s="34">
        <v>261.55</v>
      </c>
    </row>
    <row r="67" spans="2:5" ht="15.6" x14ac:dyDescent="0.3">
      <c r="B67" s="118" t="s">
        <v>45</v>
      </c>
      <c r="C67" s="40">
        <v>118825553</v>
      </c>
      <c r="D67" s="55" t="s">
        <v>194</v>
      </c>
      <c r="E67" s="34">
        <v>209.52</v>
      </c>
    </row>
    <row r="68" spans="2:5" ht="15.6" x14ac:dyDescent="0.3">
      <c r="B68" s="118" t="s">
        <v>45</v>
      </c>
      <c r="C68" s="40">
        <v>117043000</v>
      </c>
      <c r="D68" s="55" t="s">
        <v>195</v>
      </c>
      <c r="E68" s="34">
        <v>216.55</v>
      </c>
    </row>
    <row r="69" spans="2:5" ht="15.6" x14ac:dyDescent="0.3">
      <c r="B69" s="118" t="s">
        <v>45</v>
      </c>
      <c r="C69" s="107">
        <v>118937556</v>
      </c>
      <c r="D69" s="163" t="s">
        <v>231</v>
      </c>
      <c r="E69" s="34">
        <v>232.02</v>
      </c>
    </row>
    <row r="70" spans="2:5" ht="15.6" x14ac:dyDescent="0.3">
      <c r="B70" s="118" t="s">
        <v>45</v>
      </c>
      <c r="C70" s="30">
        <v>117043000</v>
      </c>
      <c r="D70" s="163" t="s">
        <v>233</v>
      </c>
      <c r="E70" s="34">
        <v>135</v>
      </c>
    </row>
    <row r="71" spans="2:5" ht="15.6" x14ac:dyDescent="0.3">
      <c r="B71" s="118" t="s">
        <v>45</v>
      </c>
      <c r="C71" s="135">
        <v>118951516</v>
      </c>
      <c r="D71" s="164" t="s">
        <v>234</v>
      </c>
      <c r="E71" s="34">
        <v>209.52</v>
      </c>
    </row>
    <row r="72" spans="2:5" ht="15.6" x14ac:dyDescent="0.3">
      <c r="B72" s="118" t="s">
        <v>45</v>
      </c>
      <c r="C72" s="53">
        <v>118988096</v>
      </c>
      <c r="D72" s="54" t="s">
        <v>295</v>
      </c>
      <c r="E72" s="34">
        <v>42.5</v>
      </c>
    </row>
    <row r="73" spans="2:5" ht="15.6" x14ac:dyDescent="0.3">
      <c r="B73" s="118" t="s">
        <v>45</v>
      </c>
      <c r="C73" s="107">
        <v>118987817</v>
      </c>
      <c r="D73" s="163" t="s">
        <v>296</v>
      </c>
      <c r="E73" s="34">
        <v>65</v>
      </c>
    </row>
    <row r="74" spans="2:5" ht="15.6" x14ac:dyDescent="0.3">
      <c r="B74" s="118" t="s">
        <v>45</v>
      </c>
      <c r="C74" s="107">
        <v>118987817</v>
      </c>
      <c r="D74" s="163" t="s">
        <v>297</v>
      </c>
      <c r="E74" s="34">
        <v>72.02</v>
      </c>
    </row>
    <row r="75" spans="2:5" ht="15.6" x14ac:dyDescent="0.3">
      <c r="B75" s="118" t="s">
        <v>45</v>
      </c>
      <c r="C75" s="107">
        <v>118987825</v>
      </c>
      <c r="D75" s="163" t="s">
        <v>298</v>
      </c>
      <c r="E75" s="34">
        <v>42.5</v>
      </c>
    </row>
    <row r="76" spans="2:5" ht="15.6" x14ac:dyDescent="0.3">
      <c r="B76" s="118" t="s">
        <v>45</v>
      </c>
      <c r="C76" s="107">
        <v>118988708</v>
      </c>
      <c r="D76" s="163" t="s">
        <v>299</v>
      </c>
      <c r="E76" s="122">
        <v>94.52</v>
      </c>
    </row>
    <row r="77" spans="2:5" ht="15.6" x14ac:dyDescent="0.3">
      <c r="B77" s="118" t="s">
        <v>45</v>
      </c>
      <c r="C77" s="107">
        <v>118987833</v>
      </c>
      <c r="D77" s="163" t="s">
        <v>300</v>
      </c>
      <c r="E77" s="34">
        <v>42.5</v>
      </c>
    </row>
    <row r="78" spans="2:5" ht="15.6" x14ac:dyDescent="0.3">
      <c r="B78" s="118" t="s">
        <v>45</v>
      </c>
      <c r="C78" s="107">
        <v>118987932</v>
      </c>
      <c r="D78" s="163" t="s">
        <v>301</v>
      </c>
      <c r="E78" s="179">
        <v>20</v>
      </c>
    </row>
    <row r="79" spans="2:5" ht="15.6" x14ac:dyDescent="0.3">
      <c r="B79" s="118" t="s">
        <v>45</v>
      </c>
      <c r="C79" s="30">
        <v>117043000</v>
      </c>
      <c r="D79" s="94" t="s">
        <v>302</v>
      </c>
      <c r="E79" s="179">
        <v>20</v>
      </c>
    </row>
    <row r="80" spans="2:5" x14ac:dyDescent="0.3">
      <c r="E80" s="121">
        <f>SUM(E5:E79)</f>
        <v>14083.7</v>
      </c>
    </row>
    <row r="88" spans="2:5" ht="31.2" x14ac:dyDescent="0.3">
      <c r="B88" s="118" t="s">
        <v>325</v>
      </c>
      <c r="C88" s="135">
        <v>472005636961</v>
      </c>
      <c r="D88" s="164" t="s">
        <v>232</v>
      </c>
      <c r="E88" s="34">
        <v>45</v>
      </c>
    </row>
    <row r="89" spans="2:5" x14ac:dyDescent="0.3">
      <c r="E89" s="121">
        <v>45</v>
      </c>
    </row>
    <row r="90" spans="2:5" x14ac:dyDescent="0.3">
      <c r="E90" s="121">
        <f>E80+E89</f>
        <v>14128.7</v>
      </c>
    </row>
  </sheetData>
  <conditionalFormatting sqref="B5:B79">
    <cfRule type="duplicateValues" dxfId="66" priority="8152"/>
  </conditionalFormatting>
  <conditionalFormatting sqref="B88">
    <cfRule type="duplicateValues" dxfId="65" priority="5"/>
  </conditionalFormatting>
  <conditionalFormatting sqref="C5:C8 C21:C23 C16 C14 C11">
    <cfRule type="duplicateValues" dxfId="64" priority="49"/>
    <cfRule type="duplicateValues" dxfId="63" priority="48"/>
    <cfRule type="duplicateValues" dxfId="62" priority="47"/>
  </conditionalFormatting>
  <conditionalFormatting sqref="C9">
    <cfRule type="duplicateValues" dxfId="61" priority="14"/>
  </conditionalFormatting>
  <conditionalFormatting sqref="C18">
    <cfRule type="duplicateValues" dxfId="60" priority="35"/>
    <cfRule type="duplicateValues" dxfId="59" priority="33"/>
    <cfRule type="duplicateValues" dxfId="58" priority="34"/>
  </conditionalFormatting>
  <conditionalFormatting sqref="C19">
    <cfRule type="duplicateValues" dxfId="57" priority="12"/>
    <cfRule type="duplicateValues" dxfId="56" priority="13"/>
  </conditionalFormatting>
  <conditionalFormatting sqref="C25">
    <cfRule type="duplicateValues" dxfId="55" priority="9"/>
    <cfRule type="duplicateValues" dxfId="54" priority="10"/>
    <cfRule type="duplicateValues" dxfId="53" priority="11"/>
  </conditionalFormatting>
  <conditionalFormatting sqref="C29">
    <cfRule type="duplicateValues" dxfId="52" priority="46"/>
    <cfRule type="duplicateValues" dxfId="51" priority="45"/>
    <cfRule type="duplicateValues" dxfId="50" priority="44"/>
  </conditionalFormatting>
  <conditionalFormatting sqref="C36">
    <cfRule type="duplicateValues" dxfId="49" priority="53"/>
    <cfRule type="duplicateValues" dxfId="48" priority="52"/>
    <cfRule type="duplicateValues" dxfId="47" priority="51"/>
    <cfRule type="duplicateValues" dxfId="46" priority="50"/>
  </conditionalFormatting>
  <conditionalFormatting sqref="C37">
    <cfRule type="duplicateValues" dxfId="45" priority="38"/>
    <cfRule type="duplicateValues" dxfId="44" priority="37"/>
    <cfRule type="duplicateValues" dxfId="43" priority="36"/>
  </conditionalFormatting>
  <conditionalFormatting sqref="C38">
    <cfRule type="duplicateValues" dxfId="42" priority="23"/>
  </conditionalFormatting>
  <conditionalFormatting sqref="C39">
    <cfRule type="duplicateValues" dxfId="41" priority="54"/>
  </conditionalFormatting>
  <conditionalFormatting sqref="C45:C46">
    <cfRule type="duplicateValues" dxfId="40" priority="43"/>
    <cfRule type="duplicateValues" dxfId="39" priority="42"/>
  </conditionalFormatting>
  <conditionalFormatting sqref="C52">
    <cfRule type="duplicateValues" dxfId="38" priority="21"/>
    <cfRule type="duplicateValues" dxfId="37" priority="22"/>
  </conditionalFormatting>
  <conditionalFormatting sqref="C53">
    <cfRule type="duplicateValues" dxfId="36" priority="24"/>
    <cfRule type="duplicateValues" dxfId="35" priority="26"/>
    <cfRule type="duplicateValues" dxfId="34" priority="25"/>
  </conditionalFormatting>
  <conditionalFormatting sqref="C56">
    <cfRule type="duplicateValues" dxfId="33" priority="32"/>
    <cfRule type="duplicateValues" dxfId="32" priority="31"/>
    <cfRule type="duplicateValues" dxfId="31" priority="30"/>
  </conditionalFormatting>
  <conditionalFormatting sqref="C57">
    <cfRule type="duplicateValues" dxfId="30" priority="40"/>
    <cfRule type="duplicateValues" dxfId="29" priority="41"/>
  </conditionalFormatting>
  <conditionalFormatting sqref="C58 C54:C55 C30:C33 C35 C38:C39">
    <cfRule type="duplicateValues" dxfId="28" priority="58"/>
  </conditionalFormatting>
  <conditionalFormatting sqref="C59">
    <cfRule type="duplicateValues" dxfId="27" priority="29"/>
    <cfRule type="duplicateValues" dxfId="26" priority="28"/>
    <cfRule type="duplicateValues" dxfId="25" priority="27"/>
  </conditionalFormatting>
  <conditionalFormatting sqref="C60">
    <cfRule type="duplicateValues" dxfId="24" priority="59"/>
    <cfRule type="duplicateValues" dxfId="23" priority="60"/>
  </conditionalFormatting>
  <conditionalFormatting sqref="C64">
    <cfRule type="duplicateValues" dxfId="22" priority="39"/>
  </conditionalFormatting>
  <conditionalFormatting sqref="C68">
    <cfRule type="duplicateValues" dxfId="21" priority="20"/>
    <cfRule type="duplicateValues" dxfId="20" priority="19"/>
    <cfRule type="duplicateValues" dxfId="19" priority="18"/>
  </conditionalFormatting>
  <conditionalFormatting sqref="C70">
    <cfRule type="duplicateValues" dxfId="18" priority="16"/>
    <cfRule type="duplicateValues" dxfId="17" priority="15"/>
    <cfRule type="duplicateValues" dxfId="16" priority="17"/>
  </conditionalFormatting>
  <conditionalFormatting sqref="C71 C69 C57 C61:C64">
    <cfRule type="duplicateValues" dxfId="15" priority="55"/>
  </conditionalFormatting>
  <conditionalFormatting sqref="C71 C69 C61:C64 C57:C58 C54:C55 C30:C33 C35 C38:C39">
    <cfRule type="duplicateValues" dxfId="14" priority="57"/>
  </conditionalFormatting>
  <conditionalFormatting sqref="C71 C69">
    <cfRule type="duplicateValues" dxfId="13" priority="56"/>
  </conditionalFormatting>
  <conditionalFormatting sqref="C79">
    <cfRule type="duplicateValues" dxfId="12" priority="8"/>
    <cfRule type="duplicateValues" dxfId="11" priority="7"/>
    <cfRule type="duplicateValues" dxfId="10" priority="6"/>
  </conditionalFormatting>
  <conditionalFormatting sqref="C88">
    <cfRule type="duplicateValues" dxfId="9" priority="1"/>
    <cfRule type="duplicateValues" dxfId="8" priority="3"/>
    <cfRule type="duplicateValues" dxfId="7" priority="2"/>
  </conditionalFormatting>
  <conditionalFormatting sqref="D30:D32">
    <cfRule type="duplicateValues" dxfId="6" priority="63"/>
  </conditionalFormatting>
  <conditionalFormatting sqref="D35">
    <cfRule type="duplicateValues" dxfId="5" priority="61"/>
  </conditionalFormatting>
  <conditionalFormatting sqref="D37">
    <cfRule type="duplicateValues" dxfId="4" priority="62"/>
  </conditionalFormatting>
  <conditionalFormatting sqref="D69:D71">
    <cfRule type="duplicateValues" dxfId="3" priority="8139"/>
  </conditionalFormatting>
  <conditionalFormatting sqref="D88">
    <cfRule type="duplicateValues" dxfId="2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9EA9-71FA-4AFF-8E05-51C8D2402871}">
  <sheetPr codeName="Hoja3"/>
  <dimension ref="B3:O27"/>
  <sheetViews>
    <sheetView topLeftCell="A3" workbookViewId="0">
      <selection activeCell="K13" sqref="K13"/>
    </sheetView>
  </sheetViews>
  <sheetFormatPr baseColWidth="10" defaultRowHeight="14.4" x14ac:dyDescent="0.3"/>
  <cols>
    <col min="3" max="3" width="23.109375" bestFit="1" customWidth="1"/>
  </cols>
  <sheetData>
    <row r="3" spans="2:5" x14ac:dyDescent="0.3">
      <c r="B3" s="190" t="s">
        <v>33</v>
      </c>
      <c r="C3" s="190"/>
    </row>
    <row r="4" spans="2:5" x14ac:dyDescent="0.3">
      <c r="B4" s="1">
        <v>1</v>
      </c>
      <c r="C4" s="3" t="s">
        <v>34</v>
      </c>
    </row>
    <row r="5" spans="2:5" x14ac:dyDescent="0.3">
      <c r="B5" s="1" t="s">
        <v>27</v>
      </c>
      <c r="C5" s="3" t="s">
        <v>37</v>
      </c>
    </row>
    <row r="6" spans="2:5" x14ac:dyDescent="0.3">
      <c r="B6" s="1" t="s">
        <v>38</v>
      </c>
      <c r="C6" s="3" t="s">
        <v>39</v>
      </c>
    </row>
    <row r="7" spans="2:5" x14ac:dyDescent="0.3">
      <c r="B7" s="1" t="s">
        <v>35</v>
      </c>
      <c r="C7" s="3" t="s">
        <v>40</v>
      </c>
    </row>
    <row r="8" spans="2:5" x14ac:dyDescent="0.3">
      <c r="B8" s="1" t="s">
        <v>36</v>
      </c>
      <c r="C8" s="3" t="s">
        <v>41</v>
      </c>
    </row>
    <row r="9" spans="2:5" x14ac:dyDescent="0.3">
      <c r="B9" s="1" t="s">
        <v>42</v>
      </c>
      <c r="C9" s="3" t="s">
        <v>43</v>
      </c>
    </row>
    <row r="13" spans="2:5" ht="15.6" x14ac:dyDescent="0.3">
      <c r="E13" s="180"/>
    </row>
    <row r="14" spans="2:5" ht="15.6" x14ac:dyDescent="0.3">
      <c r="E14" s="180"/>
    </row>
    <row r="15" spans="2:5" ht="15.6" x14ac:dyDescent="0.3">
      <c r="E15" s="181"/>
    </row>
    <row r="16" spans="2:5" ht="15.6" x14ac:dyDescent="0.3">
      <c r="E16" s="180"/>
    </row>
    <row r="17" spans="5:15" ht="15.6" x14ac:dyDescent="0.3">
      <c r="E17" s="180"/>
    </row>
    <row r="18" spans="5:15" ht="15.6" x14ac:dyDescent="0.3">
      <c r="E18" s="182"/>
    </row>
    <row r="19" spans="5:15" ht="15.6" x14ac:dyDescent="0.3">
      <c r="E19" s="183"/>
      <c r="O19" t="s">
        <v>57</v>
      </c>
    </row>
    <row r="20" spans="5:15" ht="15.6" x14ac:dyDescent="0.3">
      <c r="E20" s="183"/>
    </row>
    <row r="21" spans="5:15" ht="15.6" x14ac:dyDescent="0.3">
      <c r="E21" s="182"/>
    </row>
    <row r="22" spans="5:15" ht="15.6" x14ac:dyDescent="0.3">
      <c r="E22" s="182"/>
    </row>
    <row r="23" spans="5:15" ht="15.6" x14ac:dyDescent="0.3">
      <c r="E23" s="182"/>
    </row>
    <row r="24" spans="5:15" ht="15.6" x14ac:dyDescent="0.3">
      <c r="E24" s="184"/>
    </row>
    <row r="25" spans="5:15" ht="15.6" x14ac:dyDescent="0.3">
      <c r="E25" s="183"/>
    </row>
    <row r="26" spans="5:15" ht="15.6" x14ac:dyDescent="0.3">
      <c r="E26" s="183"/>
    </row>
    <row r="27" spans="5:15" ht="15.6" x14ac:dyDescent="0.3">
      <c r="E27" s="183"/>
    </row>
  </sheetData>
  <mergeCells count="1">
    <mergeCell ref="B3:C3"/>
  </mergeCells>
  <conditionalFormatting sqref="E19">
    <cfRule type="duplicateValues" dxfId="1" priority="2"/>
  </conditionalFormatting>
  <conditionalFormatting sqref="E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PRICESMART </vt:lpstr>
      <vt:lpstr>Hoja2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Alfaro</dc:creator>
  <cp:lastModifiedBy>Indira Yarelis Williams Valencia</cp:lastModifiedBy>
  <cp:lastPrinted>2024-12-05T16:51:29Z</cp:lastPrinted>
  <dcterms:created xsi:type="dcterms:W3CDTF">2024-05-31T21:48:38Z</dcterms:created>
  <dcterms:modified xsi:type="dcterms:W3CDTF">2026-06-15T19:06:22Z</dcterms:modified>
</cp:coreProperties>
</file>